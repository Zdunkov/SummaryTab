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Zdunkov\Desktop\"/>
    </mc:Choice>
  </mc:AlternateContent>
  <bookViews>
    <workbookView xWindow="0" yWindow="0" windowWidth="28800" windowHeight="12300" activeTab="1"/>
  </bookViews>
  <sheets>
    <sheet name="Summary" sheetId="3" r:id="rId1"/>
    <sheet name="data_source" sheetId="1" r:id="rId2"/>
    <sheet name="workings" sheetId="2" r:id="rId3"/>
  </sheets>
  <functionGroups builtInGroupCount="18"/>
  <definedNames>
    <definedName name="_xlnm._FilterDatabase" localSheetId="1" hidden="1">data_source!$A$4:$L$135</definedName>
    <definedName name="HierarchyFormulas" localSheetId="0">Summary!$K$28:$N$28</definedName>
    <definedName name="HierarchyHeaders" localSheetId="0">Summary!$B$28:$F$28</definedName>
    <definedName name="HierarchyHeaders" localSheetId="2">workings!$B$2:$F$2</definedName>
    <definedName name="UniqueListHeaders" localSheetId="2">workings!$H$2:$L$2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14" i="3" l="1"/>
  <c r="K114" i="3"/>
  <c r="L113" i="3"/>
  <c r="K113" i="3"/>
  <c r="L112" i="3"/>
  <c r="K112" i="3"/>
  <c r="L111" i="3"/>
  <c r="K111" i="3"/>
  <c r="L110" i="3"/>
  <c r="K110" i="3"/>
  <c r="L109" i="3"/>
  <c r="K109" i="3"/>
  <c r="L108" i="3"/>
  <c r="K108" i="3"/>
  <c r="L107" i="3"/>
  <c r="K107" i="3"/>
  <c r="L106" i="3"/>
  <c r="K106" i="3"/>
  <c r="L105" i="3"/>
  <c r="K105" i="3"/>
  <c r="L104" i="3"/>
  <c r="K104" i="3"/>
  <c r="L103" i="3"/>
  <c r="K103" i="3"/>
  <c r="L102" i="3"/>
  <c r="K102" i="3"/>
  <c r="L101" i="3"/>
  <c r="K101" i="3"/>
  <c r="L100" i="3"/>
  <c r="K100" i="3"/>
  <c r="L99" i="3"/>
  <c r="K99" i="3"/>
  <c r="L98" i="3"/>
  <c r="K98" i="3"/>
  <c r="L97" i="3"/>
  <c r="K97" i="3"/>
  <c r="L96" i="3"/>
  <c r="K96" i="3"/>
  <c r="L95" i="3"/>
  <c r="K95" i="3"/>
  <c r="L94" i="3"/>
  <c r="K94" i="3"/>
  <c r="L93" i="3"/>
  <c r="K93" i="3"/>
  <c r="L92" i="3"/>
  <c r="K92" i="3"/>
  <c r="L91" i="3"/>
  <c r="K91" i="3"/>
  <c r="L90" i="3"/>
  <c r="K90" i="3"/>
  <c r="L89" i="3"/>
  <c r="K89" i="3"/>
  <c r="L88" i="3"/>
  <c r="K88" i="3"/>
  <c r="L87" i="3"/>
  <c r="K87" i="3"/>
  <c r="L86" i="3"/>
  <c r="K86" i="3"/>
  <c r="L85" i="3"/>
  <c r="K85" i="3"/>
  <c r="L84" i="3"/>
  <c r="K84" i="3"/>
  <c r="L83" i="3"/>
  <c r="K83" i="3"/>
  <c r="L82" i="3"/>
  <c r="K82" i="3"/>
  <c r="L81" i="3"/>
  <c r="K81" i="3"/>
  <c r="L80" i="3"/>
  <c r="K80" i="3"/>
  <c r="L79" i="3"/>
  <c r="K79" i="3"/>
  <c r="L78" i="3"/>
  <c r="K78" i="3"/>
  <c r="L77" i="3"/>
  <c r="K77" i="3"/>
  <c r="L76" i="3"/>
  <c r="K76" i="3"/>
  <c r="L75" i="3"/>
  <c r="K75" i="3"/>
  <c r="L74" i="3"/>
  <c r="K74" i="3"/>
  <c r="L73" i="3"/>
  <c r="K73" i="3"/>
  <c r="L72" i="3"/>
  <c r="K72" i="3"/>
  <c r="L71" i="3"/>
  <c r="K71" i="3"/>
  <c r="L70" i="3"/>
  <c r="K70" i="3"/>
  <c r="L69" i="3"/>
  <c r="K69" i="3"/>
  <c r="L68" i="3"/>
  <c r="K68" i="3"/>
  <c r="L67" i="3"/>
  <c r="K67" i="3"/>
  <c r="L66" i="3"/>
  <c r="K66" i="3"/>
  <c r="L65" i="3"/>
  <c r="K65" i="3"/>
  <c r="L64" i="3"/>
  <c r="K64" i="3"/>
  <c r="L63" i="3"/>
  <c r="K63" i="3"/>
  <c r="L62" i="3"/>
  <c r="K62" i="3"/>
  <c r="L61" i="3"/>
  <c r="K61" i="3"/>
  <c r="L60" i="3"/>
  <c r="K60" i="3"/>
  <c r="L59" i="3"/>
  <c r="K59" i="3"/>
  <c r="L58" i="3"/>
  <c r="K58" i="3"/>
  <c r="L57" i="3"/>
  <c r="K57" i="3"/>
  <c r="L56" i="3"/>
  <c r="K56" i="3"/>
  <c r="L55" i="3"/>
  <c r="K55" i="3"/>
  <c r="L54" i="3"/>
  <c r="K54" i="3"/>
  <c r="L53" i="3"/>
  <c r="K53" i="3"/>
  <c r="L52" i="3"/>
  <c r="K52" i="3"/>
  <c r="L51" i="3"/>
  <c r="K51" i="3"/>
  <c r="L50" i="3"/>
  <c r="K50" i="3"/>
  <c r="L49" i="3"/>
  <c r="K49" i="3"/>
  <c r="L48" i="3"/>
  <c r="K48" i="3"/>
  <c r="L47" i="3"/>
  <c r="K47" i="3"/>
  <c r="L46" i="3"/>
  <c r="K46" i="3"/>
  <c r="L45" i="3"/>
  <c r="K45" i="3"/>
  <c r="L44" i="3"/>
  <c r="K44" i="3"/>
  <c r="L43" i="3"/>
  <c r="K43" i="3"/>
  <c r="L42" i="3"/>
  <c r="K42" i="3"/>
  <c r="L41" i="3"/>
  <c r="K41" i="3"/>
  <c r="L40" i="3"/>
  <c r="K40" i="3"/>
  <c r="L39" i="3"/>
  <c r="K39" i="3"/>
  <c r="L38" i="3"/>
  <c r="K38" i="3"/>
  <c r="L37" i="3"/>
  <c r="K37" i="3"/>
  <c r="L36" i="3"/>
  <c r="K36" i="3"/>
  <c r="L35" i="3"/>
  <c r="K35" i="3"/>
  <c r="L34" i="3"/>
  <c r="K34" i="3"/>
  <c r="L33" i="3"/>
  <c r="K33" i="3"/>
  <c r="L32" i="3"/>
  <c r="K32" i="3"/>
  <c r="L31" i="3"/>
  <c r="K31" i="3"/>
  <c r="L30" i="3"/>
  <c r="K30" i="3"/>
  <c r="M29" i="3"/>
  <c r="L29" i="3"/>
  <c r="N29" i="3" s="1"/>
  <c r="K29" i="3"/>
  <c r="M31" i="3" l="1"/>
  <c r="N31" i="3" s="1"/>
  <c r="M33" i="3"/>
  <c r="N33" i="3" s="1"/>
  <c r="M35" i="3"/>
  <c r="N35" i="3" s="1"/>
  <c r="N37" i="3"/>
  <c r="M37" i="3"/>
  <c r="N39" i="3"/>
  <c r="M39" i="3"/>
  <c r="N41" i="3"/>
  <c r="M41" i="3"/>
  <c r="M43" i="3"/>
  <c r="N43" i="3" s="1"/>
  <c r="M45" i="3"/>
  <c r="N45" i="3" s="1"/>
  <c r="M47" i="3"/>
  <c r="N47" i="3" s="1"/>
  <c r="M49" i="3"/>
  <c r="N49" i="3" s="1"/>
  <c r="M51" i="3"/>
  <c r="N51" i="3" s="1"/>
  <c r="M53" i="3"/>
  <c r="N53" i="3" s="1"/>
  <c r="M55" i="3"/>
  <c r="N55" i="3" s="1"/>
  <c r="N57" i="3"/>
  <c r="M57" i="3"/>
  <c r="N59" i="3"/>
  <c r="M59" i="3"/>
  <c r="M61" i="3"/>
  <c r="N61" i="3" s="1"/>
  <c r="N63" i="3"/>
  <c r="M63" i="3"/>
  <c r="M65" i="3"/>
  <c r="N65" i="3" s="1"/>
  <c r="M67" i="3"/>
  <c r="N67" i="3" s="1"/>
  <c r="M69" i="3"/>
  <c r="N69" i="3" s="1"/>
  <c r="M71" i="3"/>
  <c r="N71" i="3" s="1"/>
  <c r="N73" i="3"/>
  <c r="M73" i="3"/>
  <c r="M75" i="3"/>
  <c r="N75" i="3" s="1"/>
  <c r="M77" i="3"/>
  <c r="N77" i="3" s="1"/>
  <c r="M79" i="3"/>
  <c r="N79" i="3" s="1"/>
  <c r="M81" i="3"/>
  <c r="N81" i="3" s="1"/>
  <c r="M83" i="3"/>
  <c r="N83" i="3" s="1"/>
  <c r="M85" i="3"/>
  <c r="N85" i="3" s="1"/>
  <c r="M87" i="3"/>
  <c r="N87" i="3" s="1"/>
  <c r="M89" i="3"/>
  <c r="N89" i="3" s="1"/>
  <c r="N91" i="3"/>
  <c r="M91" i="3"/>
  <c r="N93" i="3"/>
  <c r="M93" i="3"/>
  <c r="N95" i="3"/>
  <c r="M95" i="3"/>
  <c r="M97" i="3"/>
  <c r="N97" i="3" s="1"/>
  <c r="M99" i="3"/>
  <c r="N99" i="3" s="1"/>
  <c r="M101" i="3"/>
  <c r="N101" i="3" s="1"/>
  <c r="M103" i="3"/>
  <c r="N103" i="3" s="1"/>
  <c r="M105" i="3"/>
  <c r="N105" i="3" s="1"/>
  <c r="M107" i="3"/>
  <c r="N107" i="3" s="1"/>
  <c r="N109" i="3"/>
  <c r="M109" i="3"/>
  <c r="N111" i="3"/>
  <c r="M111" i="3"/>
  <c r="M113" i="3"/>
  <c r="N113" i="3" s="1"/>
  <c r="M30" i="3"/>
  <c r="N30" i="3" s="1"/>
  <c r="M32" i="3"/>
  <c r="N32" i="3" s="1"/>
  <c r="M34" i="3"/>
  <c r="N34" i="3" s="1"/>
  <c r="M36" i="3"/>
  <c r="N36" i="3" s="1"/>
  <c r="M38" i="3"/>
  <c r="N38" i="3" s="1"/>
  <c r="M40" i="3"/>
  <c r="N40" i="3" s="1"/>
  <c r="M42" i="3"/>
  <c r="N42" i="3" s="1"/>
  <c r="M44" i="3"/>
  <c r="N44" i="3" s="1"/>
  <c r="M46" i="3"/>
  <c r="N46" i="3" s="1"/>
  <c r="M48" i="3"/>
  <c r="N48" i="3" s="1"/>
  <c r="M50" i="3"/>
  <c r="N50" i="3" s="1"/>
  <c r="M52" i="3"/>
  <c r="N52" i="3" s="1"/>
  <c r="M54" i="3"/>
  <c r="N54" i="3" s="1"/>
  <c r="M56" i="3"/>
  <c r="N56" i="3" s="1"/>
  <c r="N58" i="3"/>
  <c r="M58" i="3"/>
  <c r="M60" i="3"/>
  <c r="N60" i="3" s="1"/>
  <c r="M62" i="3"/>
  <c r="N62" i="3" s="1"/>
  <c r="M64" i="3"/>
  <c r="N64" i="3" s="1"/>
  <c r="M66" i="3"/>
  <c r="N66" i="3" s="1"/>
  <c r="M68" i="3"/>
  <c r="N68" i="3" s="1"/>
  <c r="M70" i="3"/>
  <c r="N70" i="3" s="1"/>
  <c r="M72" i="3"/>
  <c r="N72" i="3" s="1"/>
  <c r="M74" i="3"/>
  <c r="N74" i="3" s="1"/>
  <c r="N76" i="3"/>
  <c r="M76" i="3"/>
  <c r="M78" i="3"/>
  <c r="N78" i="3" s="1"/>
  <c r="M80" i="3"/>
  <c r="N80" i="3" s="1"/>
  <c r="M82" i="3"/>
  <c r="N82" i="3" s="1"/>
  <c r="M84" i="3"/>
  <c r="N84" i="3" s="1"/>
  <c r="M86" i="3"/>
  <c r="N86" i="3" s="1"/>
  <c r="N88" i="3"/>
  <c r="M88" i="3"/>
  <c r="M90" i="3"/>
  <c r="N90" i="3" s="1"/>
  <c r="N92" i="3"/>
  <c r="M92" i="3"/>
  <c r="N94" i="3"/>
  <c r="M94" i="3"/>
  <c r="M96" i="3"/>
  <c r="N96" i="3" s="1"/>
  <c r="M98" i="3"/>
  <c r="N98" i="3" s="1"/>
  <c r="M100" i="3"/>
  <c r="N100" i="3" s="1"/>
  <c r="M102" i="3"/>
  <c r="N102" i="3" s="1"/>
  <c r="M104" i="3"/>
  <c r="N104" i="3" s="1"/>
  <c r="M106" i="3"/>
  <c r="N106" i="3" s="1"/>
  <c r="M108" i="3"/>
  <c r="N108" i="3" s="1"/>
  <c r="M110" i="3"/>
  <c r="N110" i="3" s="1"/>
  <c r="M112" i="3"/>
  <c r="N112" i="3" s="1"/>
  <c r="M114" i="3"/>
  <c r="N114" i="3" s="1"/>
  <c r="B14" i="3"/>
  <c r="H14" i="3" s="1"/>
  <c r="B13" i="3"/>
  <c r="H13" i="3" s="1"/>
  <c r="L27" i="3"/>
  <c r="K27" i="3"/>
  <c r="J76" i="1"/>
  <c r="A75" i="1"/>
  <c r="A74" i="1"/>
  <c r="A73" i="1"/>
  <c r="A72" i="1"/>
  <c r="A71" i="1"/>
  <c r="A70" i="1"/>
  <c r="A69" i="1"/>
  <c r="A68" i="1"/>
  <c r="A67" i="1"/>
  <c r="A66" i="1"/>
  <c r="A65" i="1"/>
  <c r="A64" i="1"/>
  <c r="A120" i="1"/>
  <c r="J122" i="1"/>
  <c r="J135" i="1" s="1"/>
  <c r="A14" i="1"/>
  <c r="A121" i="1"/>
  <c r="A118" i="1"/>
  <c r="A6" i="1"/>
  <c r="A7" i="1"/>
  <c r="A8" i="1"/>
  <c r="A9" i="1"/>
  <c r="A11" i="1"/>
  <c r="A12" i="1"/>
  <c r="A16" i="1"/>
  <c r="A17" i="1"/>
  <c r="A18" i="1"/>
  <c r="A19" i="1"/>
  <c r="A22" i="1"/>
  <c r="A23" i="1"/>
  <c r="A25" i="1"/>
  <c r="A28" i="1"/>
  <c r="A31" i="1"/>
  <c r="A36" i="1"/>
  <c r="A52" i="1"/>
  <c r="A53" i="1"/>
  <c r="A54" i="1"/>
  <c r="A55" i="1"/>
  <c r="A59" i="1"/>
  <c r="A76" i="1"/>
  <c r="A77" i="1"/>
  <c r="A78" i="1"/>
  <c r="A79" i="1"/>
  <c r="A80" i="1"/>
  <c r="A83" i="1"/>
  <c r="A87" i="1"/>
  <c r="A88" i="1"/>
  <c r="A89" i="1"/>
  <c r="A90" i="1"/>
  <c r="A92" i="1"/>
  <c r="A93" i="1"/>
  <c r="A98" i="1"/>
  <c r="A101" i="1"/>
  <c r="A104" i="1"/>
  <c r="A105" i="1"/>
  <c r="A106" i="1"/>
  <c r="A111" i="1"/>
  <c r="A112" i="1"/>
  <c r="A113" i="1"/>
  <c r="A114" i="1"/>
  <c r="A123" i="1"/>
  <c r="A126" i="1"/>
  <c r="A127" i="1"/>
  <c r="A129" i="1"/>
  <c r="A130" i="1"/>
  <c r="A135" i="1"/>
  <c r="A3" i="1"/>
  <c r="A5" i="1"/>
  <c r="A108" i="1"/>
  <c r="A103" i="1"/>
  <c r="A100" i="1"/>
  <c r="K28" i="3" l="1"/>
  <c r="H15" i="3"/>
  <c r="H16" i="3" s="1"/>
  <c r="L28" i="3"/>
  <c r="N28" i="3" s="1"/>
  <c r="A119" i="1"/>
  <c r="A107" i="1"/>
  <c r="A102" i="1"/>
  <c r="A99" i="1"/>
  <c r="A122" i="1"/>
  <c r="A58" i="1"/>
  <c r="A34" i="1"/>
  <c r="A15" i="1"/>
  <c r="A134" i="1"/>
  <c r="A110" i="1"/>
  <c r="A97" i="1"/>
  <c r="A63" i="1"/>
  <c r="A35" i="1"/>
  <c r="M28" i="3" l="1"/>
  <c r="A91" i="1"/>
  <c r="A13" i="1"/>
  <c r="A117" i="1"/>
  <c r="A10" i="1"/>
  <c r="A51" i="1"/>
  <c r="A57" i="1"/>
  <c r="A56" i="1"/>
  <c r="A29" i="1"/>
  <c r="A30" i="1"/>
  <c r="A96" i="1"/>
  <c r="A37" i="1"/>
  <c r="A62" i="1"/>
  <c r="A84" i="1"/>
  <c r="A85" i="1"/>
  <c r="A115" i="1"/>
  <c r="A116" i="1"/>
  <c r="A26" i="1"/>
  <c r="A27" i="1"/>
  <c r="A86" i="1"/>
  <c r="A109" i="1"/>
  <c r="A133" i="1"/>
  <c r="A50" i="1"/>
  <c r="A81" i="1"/>
  <c r="A82" i="1"/>
  <c r="A131" i="1"/>
  <c r="A132" i="1"/>
  <c r="A24" i="1"/>
  <c r="A125" i="1"/>
  <c r="A124" i="1"/>
  <c r="A60" i="1"/>
  <c r="A94" i="1"/>
  <c r="A95" i="1"/>
  <c r="A128" i="1"/>
  <c r="A20" i="1"/>
  <c r="A21" i="1"/>
  <c r="A32" i="1"/>
  <c r="A33" i="1"/>
  <c r="A61" i="1" l="1"/>
  <c r="A38" i="1"/>
  <c r="A39" i="1" l="1"/>
  <c r="A40" i="1" l="1"/>
  <c r="A41" i="1" l="1"/>
  <c r="A42" i="1" l="1"/>
  <c r="A43" i="1" l="1"/>
  <c r="A44" i="1" l="1"/>
  <c r="A45" i="1" l="1"/>
  <c r="A46" i="1" l="1"/>
  <c r="A47" i="1" l="1"/>
  <c r="A48" i="1" l="1"/>
  <c r="A49" i="1" l="1"/>
</calcChain>
</file>

<file path=xl/sharedStrings.xml><?xml version="1.0" encoding="utf-8"?>
<sst xmlns="http://schemas.openxmlformats.org/spreadsheetml/2006/main" count="1381" uniqueCount="109">
  <si>
    <t>Date</t>
  </si>
  <si>
    <t>City</t>
  </si>
  <si>
    <t>School</t>
  </si>
  <si>
    <t>Class</t>
  </si>
  <si>
    <t>Teacher</t>
  </si>
  <si>
    <t>Student Name</t>
  </si>
  <si>
    <t>Asia</t>
  </si>
  <si>
    <t>Kasia</t>
  </si>
  <si>
    <t>Tomek</t>
  </si>
  <si>
    <t>Tosia</t>
  </si>
  <si>
    <t>Jacek</t>
  </si>
  <si>
    <t>Celina</t>
  </si>
  <si>
    <t>Włodek</t>
  </si>
  <si>
    <t>Michał</t>
  </si>
  <si>
    <t>Marcin</t>
  </si>
  <si>
    <t>Klaudia</t>
  </si>
  <si>
    <t>Ewa</t>
  </si>
  <si>
    <t>Maciek</t>
  </si>
  <si>
    <t>Iwona</t>
  </si>
  <si>
    <t>Justyna</t>
  </si>
  <si>
    <t>Rozalia</t>
  </si>
  <si>
    <t>Julia</t>
  </si>
  <si>
    <t>Technikum nr 5</t>
  </si>
  <si>
    <t>Liceum im. Maryli Rodowicz</t>
  </si>
  <si>
    <t>Maryla Rodowicz</t>
  </si>
  <si>
    <t>Zygmunt Hajzer</t>
  </si>
  <si>
    <t>Filip Hajzer</t>
  </si>
  <si>
    <t>Hubert Urbański</t>
  </si>
  <si>
    <t>Szkoła Podstawowa Jana Pawła II</t>
  </si>
  <si>
    <t>Tomasz Hajto</t>
  </si>
  <si>
    <t>Pan Kleks</t>
  </si>
  <si>
    <t>Mr Who</t>
  </si>
  <si>
    <t>Pan Paweł</t>
  </si>
  <si>
    <t>Wrocław</t>
  </si>
  <si>
    <t>Warszawa</t>
  </si>
  <si>
    <t>Kraków</t>
  </si>
  <si>
    <t>Uniwersytet Jagielloński</t>
  </si>
  <si>
    <t>SWPS</t>
  </si>
  <si>
    <t>Super Niania</t>
  </si>
  <si>
    <t>Tata Marcina</t>
  </si>
  <si>
    <t>Mama Michała</t>
  </si>
  <si>
    <t>Kuratorium</t>
  </si>
  <si>
    <t>Student's Pet</t>
  </si>
  <si>
    <t>Szczur</t>
  </si>
  <si>
    <t>Pies</t>
  </si>
  <si>
    <t>Kot</t>
  </si>
  <si>
    <t>Mysz</t>
  </si>
  <si>
    <t>Aligator</t>
  </si>
  <si>
    <t>Papuga</t>
  </si>
  <si>
    <t>Krokodyl</t>
  </si>
  <si>
    <t>Rybki</t>
  </si>
  <si>
    <t>Waran</t>
  </si>
  <si>
    <t>Chomik</t>
  </si>
  <si>
    <t>Kanarek</t>
  </si>
  <si>
    <t>Mrówki</t>
  </si>
  <si>
    <t>Brak</t>
  </si>
  <si>
    <t>Class Lead Parent</t>
  </si>
  <si>
    <t>Poznań</t>
  </si>
  <si>
    <t>Szkoła Doznań</t>
  </si>
  <si>
    <t>Jan Paweł</t>
  </si>
  <si>
    <t>Donald Tusk</t>
  </si>
  <si>
    <t>Technikum nr 5 Total</t>
  </si>
  <si>
    <t>2021-05-31</t>
  </si>
  <si>
    <t>2021-05-31 Total</t>
  </si>
  <si>
    <t>2019-05-31</t>
  </si>
  <si>
    <t>2019-05-31 Total</t>
  </si>
  <si>
    <t>Diff</t>
  </si>
  <si>
    <t>% Diff</t>
  </si>
  <si>
    <t>Wrocław Total</t>
  </si>
  <si>
    <t>Warszawa Total</t>
  </si>
  <si>
    <t>Kraków Total</t>
  </si>
  <si>
    <t>Poznań Total</t>
  </si>
  <si>
    <t>Liceum im. Maryli Rodowicz Total</t>
  </si>
  <si>
    <t>Szkoła Podstawowa Jana Pawła II Total</t>
  </si>
  <si>
    <t>Uniwersytet Jagielloński Total</t>
  </si>
  <si>
    <t>Szkoła Doznań Total</t>
  </si>
  <si>
    <t>Prior date</t>
  </si>
  <si>
    <t>List of unique items</t>
  </si>
  <si>
    <t>Data Hierarchy Extract</t>
  </si>
  <si>
    <t>imagine this is an OLAP pivot table</t>
  </si>
  <si>
    <t>Class A</t>
  </si>
  <si>
    <t>Class B</t>
  </si>
  <si>
    <t>Class C</t>
  </si>
  <si>
    <t>Class D</t>
  </si>
  <si>
    <t>Class E</t>
  </si>
  <si>
    <t>Class A Total</t>
  </si>
  <si>
    <t>Class B Total</t>
  </si>
  <si>
    <t>Class C Total</t>
  </si>
  <si>
    <t>Class D Total</t>
  </si>
  <si>
    <t>Class E Total</t>
  </si>
  <si>
    <t>Summary Lookup Key</t>
  </si>
  <si>
    <t>SWPS Total</t>
  </si>
  <si>
    <t>Pan Kleks Total</t>
  </si>
  <si>
    <t>Mr Who Total</t>
  </si>
  <si>
    <t>Maryla Rodowicz Total</t>
  </si>
  <si>
    <t>Zygmunt Hajzer Total</t>
  </si>
  <si>
    <t>Filip Hajzer Total</t>
  </si>
  <si>
    <t>Hubert Urbański Total</t>
  </si>
  <si>
    <t>Tomasz Hajto Total</t>
  </si>
  <si>
    <t>Pan Paweł Total</t>
  </si>
  <si>
    <t>Super Niania Total</t>
  </si>
  <si>
    <t>Jan Paweł Total</t>
  </si>
  <si>
    <t>Donald Tusk Total</t>
  </si>
  <si>
    <t>Donated</t>
  </si>
  <si>
    <t>originally, the numbers are not additive, so to get correct total it needs to be taken directly from Pivot Total (as 2+2 might equal 5)</t>
  </si>
  <si>
    <t>Summary of donations</t>
  </si>
  <si>
    <t>Total Donations</t>
  </si>
  <si>
    <t>Compare two dates:</t>
  </si>
  <si>
    <t>Detailed Summary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</si>
</sst>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,##0\ ;[Red]\-#,##0\ ;\ \-\ "/>
    <numFmt numFmtId="165" formatCode="[Color10]#,##0\ ;[Red]\-#,##0\ ;\ \-\ "/>
    <numFmt numFmtId="166" formatCode="[Color10]\+#,##0%\ ;[Red]\-#,##0%\ ;\ \-\ 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sz val="11"/>
      <color rgb="FFDEDEDE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20"/>
      <color theme="1"/>
      <name val="Calibri"/>
      <family val="2"/>
      <charset val="238"/>
      <scheme val="minor"/>
    </font>
    <font>
      <sz val="8"/>
      <color rgb="FF000000"/>
      <name val="Segoe U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487D8E"/>
        <bgColor indexed="64"/>
      </patternFill>
    </fill>
    <fill>
      <patternFill patternType="solid">
        <fgColor rgb="FFFFFFCC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applyBorder="1"/>
    <xf numFmtId="0" fontId="0" fillId="0" borderId="0" xfId="0" applyFill="1" applyBorder="1"/>
    <xf numFmtId="0" fontId="0" fillId="0" borderId="0" xfId="0" quotePrefix="1"/>
    <xf numFmtId="15" fontId="0" fillId="0" borderId="0" xfId="0" quotePrefix="1" applyNumberFormat="1"/>
    <xf numFmtId="15" fontId="1" fillId="0" borderId="0" xfId="0" quotePrefix="1" applyNumberFormat="1" applyFont="1"/>
    <xf numFmtId="15" fontId="1" fillId="2" borderId="0" xfId="0" quotePrefix="1" applyNumberFormat="1" applyFont="1" applyFill="1"/>
    <xf numFmtId="0" fontId="0" fillId="2" borderId="0" xfId="0" applyFill="1"/>
    <xf numFmtId="0" fontId="0" fillId="2" borderId="0" xfId="0" applyFill="1" applyBorder="1"/>
    <xf numFmtId="0" fontId="1" fillId="2" borderId="0" xfId="0" applyFont="1" applyFill="1"/>
    <xf numFmtId="0" fontId="1" fillId="2" borderId="0" xfId="0" applyFont="1" applyFill="1" applyBorder="1"/>
    <xf numFmtId="0" fontId="0" fillId="0" borderId="0" xfId="0" applyFill="1"/>
    <xf numFmtId="0" fontId="1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0" fillId="0" borderId="5" xfId="0" applyBorder="1"/>
    <xf numFmtId="0" fontId="0" fillId="0" borderId="7" xfId="0" applyBorder="1"/>
    <xf numFmtId="0" fontId="7" fillId="3" borderId="0" xfId="0" applyFont="1" applyFill="1"/>
    <xf numFmtId="0" fontId="1" fillId="4" borderId="0" xfId="0" applyFont="1" applyFill="1"/>
    <xf numFmtId="164" fontId="0" fillId="0" borderId="8" xfId="0" applyNumberFormat="1" applyBorder="1"/>
    <xf numFmtId="165" fontId="0" fillId="0" borderId="8" xfId="0" applyNumberFormat="1" applyBorder="1"/>
    <xf numFmtId="0" fontId="2" fillId="5" borderId="2" xfId="0" applyFont="1" applyFill="1" applyBorder="1" applyAlignment="1">
      <alignment horizontal="right" indent="1"/>
    </xf>
    <xf numFmtId="0" fontId="2" fillId="5" borderId="7" xfId="0" applyFont="1" applyFill="1" applyBorder="1" applyAlignment="1">
      <alignment horizontal="right" indent="1"/>
    </xf>
    <xf numFmtId="0" fontId="2" fillId="5" borderId="3" xfId="0" applyFont="1" applyFill="1" applyBorder="1" applyAlignment="1">
      <alignment horizontal="right" indent="1"/>
    </xf>
    <xf numFmtId="0" fontId="2" fillId="5" borderId="4" xfId="0" applyFont="1" applyFill="1" applyBorder="1" applyAlignment="1">
      <alignment horizontal="right" indent="1"/>
    </xf>
    <xf numFmtId="0" fontId="2" fillId="5" borderId="5" xfId="0" applyFont="1" applyFill="1" applyBorder="1" applyAlignment="1">
      <alignment horizontal="right" indent="1"/>
    </xf>
    <xf numFmtId="0" fontId="2" fillId="5" borderId="6" xfId="0" applyFont="1" applyFill="1" applyBorder="1" applyAlignment="1">
      <alignment horizontal="right" indent="1"/>
    </xf>
    <xf numFmtId="0" fontId="7" fillId="5" borderId="1" xfId="0" applyFont="1" applyFill="1" applyBorder="1" applyAlignment="1">
      <alignment horizontal="right" indent="1"/>
    </xf>
    <xf numFmtId="0" fontId="4" fillId="0" borderId="0" xfId="0" applyFont="1" applyAlignment="1">
      <alignment horizontal="right"/>
    </xf>
    <xf numFmtId="0" fontId="9" fillId="0" borderId="0" xfId="0" applyFont="1" applyAlignment="1">
      <alignment horizontal="left"/>
    </xf>
    <xf numFmtId="0" fontId="8" fillId="0" borderId="0" xfId="0" applyFont="1" applyFill="1"/>
    <xf numFmtId="14" fontId="7" fillId="5" borderId="3" xfId="0" applyNumberFormat="1" applyFont="1" applyFill="1" applyBorder="1" applyAlignment="1">
      <alignment horizontal="right" indent="1"/>
    </xf>
    <xf numFmtId="14" fontId="7" fillId="5" borderId="1" xfId="0" applyNumberFormat="1" applyFont="1" applyFill="1" applyBorder="1" applyAlignment="1">
      <alignment horizontal="right" indent="1"/>
    </xf>
    <xf numFmtId="164" fontId="0" fillId="0" borderId="1" xfId="0" applyNumberFormat="1" applyBorder="1"/>
    <xf numFmtId="165" fontId="0" fillId="0" borderId="1" xfId="0" applyNumberFormat="1" applyBorder="1"/>
    <xf numFmtId="166" fontId="0" fillId="0" borderId="1" xfId="0" applyNumberFormat="1" applyBorder="1" applyAlignment="1">
      <alignment horizontal="right"/>
    </xf>
    <xf numFmtId="166" fontId="0" fillId="0" borderId="8" xfId="0" applyNumberFormat="1" applyBorder="1" applyAlignment="1">
      <alignment horizontal="right"/>
    </xf>
    <xf numFmtId="0" fontId="10" fillId="0" borderId="0" xfId="0" applyFont="1"/>
    <xf numFmtId="14" fontId="1" fillId="6" borderId="1" xfId="0" applyNumberFormat="1" applyFont="1" applyFill="1" applyBorder="1" applyProtection="1">
      <protection locked="0"/>
    </xf>
    <xf numFmtId="14" fontId="7" fillId="5" borderId="2" xfId="0" applyNumberFormat="1" applyFont="1" applyFill="1" applyBorder="1" applyAlignment="1">
      <alignment horizontal="right" indent="1"/>
    </xf>
    <xf numFmtId="14" fontId="7" fillId="5" borderId="7" xfId="0" applyNumberFormat="1" applyFont="1" applyFill="1" applyBorder="1" applyAlignment="1">
      <alignment horizontal="right" indent="1"/>
    </xf>
    <xf numFmtId="14" fontId="7" fillId="5" borderId="3" xfId="0" applyNumberFormat="1" applyFont="1" applyFill="1" applyBorder="1" applyAlignment="1">
      <alignment horizontal="right" indent="1"/>
    </xf>
    <xf numFmtId="0" fontId="7" fillId="5" borderId="1" xfId="0" applyFont="1" applyFill="1" applyBorder="1" applyAlignment="1">
      <alignment horizontal="right" inden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487D8E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5</xdr:row>
      <xdr:rowOff>0</xdr:rowOff>
    </xdr:from>
    <xdr:to>
      <xdr:col>11</xdr:col>
      <xdr:colOff>612913</xdr:colOff>
      <xdr:row>7</xdr:row>
      <xdr:rowOff>0</xdr:rowOff>
    </xdr:to>
    <xdr:sp macro="[0]!Button_RefreshAll" textlink="">
      <xdr:nvSpPr>
        <xdr:cNvPr id="3" name="Bevel 2"/>
        <xdr:cNvSpPr/>
      </xdr:nvSpPr>
      <xdr:spPr>
        <a:xfrm>
          <a:off x="3048000" y="1250674"/>
          <a:ext cx="1457739" cy="381000"/>
        </a:xfrm>
        <a:prstGeom prst="bevel">
          <a:avLst/>
        </a:prstGeom>
        <a:solidFill>
          <a:srgbClr val="487D8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 b="1"/>
            <a:t>Refresh</a:t>
          </a:r>
          <a:r>
            <a:rPr lang="pl-PL" sz="1100" b="1" baseline="0"/>
            <a:t> Data</a:t>
          </a:r>
          <a:endParaRPr lang="en-US" sz="1100" b="1"/>
        </a:p>
      </xdr:txBody>
    </xdr:sp>
    <xdr:clientData/>
  </xdr:twoCellAnchor>
  <xdr:twoCellAnchor>
    <xdr:from>
      <xdr:col>10</xdr:col>
      <xdr:colOff>0</xdr:colOff>
      <xdr:row>23</xdr:row>
      <xdr:rowOff>0</xdr:rowOff>
    </xdr:from>
    <xdr:to>
      <xdr:col>11</xdr:col>
      <xdr:colOff>609600</xdr:colOff>
      <xdr:row>25</xdr:row>
      <xdr:rowOff>0</xdr:rowOff>
    </xdr:to>
    <xdr:sp macro="[0]!Button_RefreshSummaryHierarchy" textlink="">
      <xdr:nvSpPr>
        <xdr:cNvPr id="5" name="Bevel 4"/>
        <xdr:cNvSpPr/>
      </xdr:nvSpPr>
      <xdr:spPr>
        <a:xfrm>
          <a:off x="3048000" y="2667000"/>
          <a:ext cx="1454426" cy="381000"/>
        </a:xfrm>
        <a:prstGeom prst="bevel">
          <a:avLst/>
        </a:prstGeom>
        <a:solidFill>
          <a:srgbClr val="487D8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 b="1"/>
            <a:t>Apply</a:t>
          </a:r>
          <a:endParaRPr lang="en-US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0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1026" name="CB_Hierarchy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6</xdr:col>
          <xdr:colOff>0</xdr:colOff>
          <xdr:row>23</xdr:row>
          <xdr:rowOff>0</xdr:rowOff>
        </xdr:to>
        <xdr:sp macro="" textlink="">
          <xdr:nvSpPr>
            <xdr:cNvPr id="1027" name="CB_Hierarchy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1028" name="CB_Hierarchy3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Teacher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7</xdr:col>
          <xdr:colOff>200025</xdr:colOff>
          <xdr:row>25</xdr:row>
          <xdr:rowOff>0</xdr:rowOff>
        </xdr:to>
        <xdr:sp macro="" textlink="">
          <xdr:nvSpPr>
            <xdr:cNvPr id="1029" name="CB_Hierarchy4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7</xdr:col>
          <xdr:colOff>400050</xdr:colOff>
          <xdr:row>26</xdr:row>
          <xdr:rowOff>0</xdr:rowOff>
        </xdr:to>
        <xdr:sp macro="" textlink="">
          <xdr:nvSpPr>
            <xdr:cNvPr id="1030" name="CB_Hierarchy5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Student Name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_SUMMARY"/>
  <dimension ref="A3:P114"/>
  <sheetViews>
    <sheetView showGridLines="0" zoomScale="115" zoomScaleNormal="115" workbookViewId="0">
      <selection activeCell="P12" sqref="P12"/>
    </sheetView>
  </sheetViews>
  <sheetFormatPr defaultRowHeight="15" x14ac:dyDescent="0.25"/>
  <cols>
    <col min="2" max="7" width="3" customWidth="1"/>
    <col min="8" max="8" width="14.42578125" customWidth="1"/>
    <col min="9" max="10" width="3" customWidth="1"/>
    <col min="11" max="14" width="14.42578125" customWidth="1"/>
  </cols>
  <sheetData>
    <row r="3" spans="1:8" ht="26.25" x14ac:dyDescent="0.4">
      <c r="B3" s="39" t="s">
        <v>105</v>
      </c>
    </row>
    <row r="5" spans="1:8" x14ac:dyDescent="0.25">
      <c r="B5" s="31" t="s">
        <v>107</v>
      </c>
      <c r="H5" s="30"/>
    </row>
    <row r="6" spans="1:8" x14ac:dyDescent="0.25">
      <c r="B6" s="23"/>
      <c r="C6" s="24"/>
      <c r="D6" s="24"/>
      <c r="E6" s="24"/>
      <c r="F6" s="24"/>
      <c r="G6" s="25" t="s">
        <v>0</v>
      </c>
      <c r="H6" s="40">
        <v>44347</v>
      </c>
    </row>
    <row r="7" spans="1:8" x14ac:dyDescent="0.25">
      <c r="A7" s="11"/>
      <c r="B7" s="26"/>
      <c r="C7" s="27"/>
      <c r="D7" s="27"/>
      <c r="E7" s="27"/>
      <c r="F7" s="27"/>
      <c r="G7" s="28" t="s">
        <v>76</v>
      </c>
      <c r="H7" s="40">
        <v>43616</v>
      </c>
    </row>
    <row r="8" spans="1:8" x14ac:dyDescent="0.25">
      <c r="A8" s="11"/>
      <c r="B8" s="11"/>
      <c r="C8" s="11"/>
      <c r="D8" s="11"/>
      <c r="E8" s="11"/>
      <c r="F8" s="11"/>
      <c r="G8" s="11"/>
    </row>
    <row r="9" spans="1:8" x14ac:dyDescent="0.25">
      <c r="A9" s="11"/>
      <c r="B9" s="11"/>
      <c r="C9" s="11"/>
      <c r="D9" s="11"/>
      <c r="E9" s="11"/>
      <c r="F9" s="11"/>
      <c r="G9" s="11"/>
    </row>
    <row r="10" spans="1:8" x14ac:dyDescent="0.25">
      <c r="A10" s="11"/>
      <c r="B10" s="11"/>
      <c r="C10" s="11"/>
      <c r="D10" s="11"/>
      <c r="E10" s="11"/>
      <c r="F10" s="11"/>
      <c r="G10" s="11"/>
    </row>
    <row r="11" spans="1:8" ht="21" x14ac:dyDescent="0.35">
      <c r="A11" s="11"/>
      <c r="B11" s="32" t="s">
        <v>106</v>
      </c>
      <c r="C11" s="11"/>
      <c r="D11" s="11"/>
      <c r="E11" s="11"/>
      <c r="F11" s="11"/>
      <c r="G11" s="11"/>
    </row>
    <row r="12" spans="1:8" x14ac:dyDescent="0.25">
      <c r="A12" s="11"/>
      <c r="B12" s="11"/>
      <c r="C12" s="11"/>
      <c r="D12" s="11"/>
      <c r="E12" s="11"/>
      <c r="F12" s="11"/>
      <c r="G12" s="11"/>
    </row>
    <row r="13" spans="1:8" x14ac:dyDescent="0.25">
      <c r="A13" s="11"/>
      <c r="B13" s="41">
        <f>H7</f>
        <v>43616</v>
      </c>
      <c r="C13" s="42"/>
      <c r="D13" s="42"/>
      <c r="E13" s="42"/>
      <c r="F13" s="42"/>
      <c r="G13" s="43"/>
      <c r="H13" s="35">
        <f>INDEX(data_source!$J:$J,MATCH(TEXT(B$13,"yyyy-mm-dd")&amp;" Total",data_source!$A:$A,0))</f>
        <v>644</v>
      </c>
    </row>
    <row r="14" spans="1:8" x14ac:dyDescent="0.25">
      <c r="A14" s="11"/>
      <c r="B14" s="41">
        <f>H6</f>
        <v>44347</v>
      </c>
      <c r="C14" s="42"/>
      <c r="D14" s="42"/>
      <c r="E14" s="42"/>
      <c r="F14" s="42"/>
      <c r="G14" s="43"/>
      <c r="H14" s="35">
        <f>INDEX(data_source!$J:$J,MATCH(TEXT(B$14,"yyyy-mm-dd")&amp;" Total",data_source!$A:$A,0))</f>
        <v>949</v>
      </c>
    </row>
    <row r="15" spans="1:8" x14ac:dyDescent="0.25">
      <c r="A15" s="11"/>
      <c r="B15" s="44" t="s">
        <v>66</v>
      </c>
      <c r="C15" s="44"/>
      <c r="D15" s="44"/>
      <c r="E15" s="44"/>
      <c r="F15" s="44"/>
      <c r="G15" s="44"/>
      <c r="H15" s="36">
        <f>_xlfn.NUMBERVALUE(H14)-_xlfn.NUMBERVALUE(H13)</f>
        <v>305</v>
      </c>
    </row>
    <row r="16" spans="1:8" x14ac:dyDescent="0.25">
      <c r="A16" s="11"/>
      <c r="B16" s="44" t="s">
        <v>67</v>
      </c>
      <c r="C16" s="44"/>
      <c r="D16" s="44"/>
      <c r="E16" s="44"/>
      <c r="F16" s="44"/>
      <c r="G16" s="44"/>
      <c r="H16" s="37">
        <f>IF(H14="","[quit] ",IFERROR(_xlfn.NUMBERVALUE(H15)/_xlfn.NUMBERVALUE(H13),"[new] "))</f>
        <v>0.47360248447204967</v>
      </c>
    </row>
    <row r="17" spans="1:16" x14ac:dyDescent="0.25">
      <c r="A17" s="11"/>
      <c r="B17" s="11"/>
      <c r="C17" s="11"/>
      <c r="D17" s="11"/>
      <c r="E17" s="11"/>
      <c r="F17" s="11"/>
      <c r="G17" s="11"/>
    </row>
    <row r="18" spans="1:16" x14ac:dyDescent="0.25">
      <c r="A18" s="11"/>
      <c r="B18" s="11"/>
      <c r="C18" s="11"/>
      <c r="D18" s="11"/>
      <c r="E18" s="11"/>
      <c r="F18" s="11"/>
      <c r="G18" s="11"/>
    </row>
    <row r="19" spans="1:16" x14ac:dyDescent="0.25">
      <c r="A19" s="11"/>
      <c r="B19" s="11"/>
      <c r="C19" s="11"/>
      <c r="D19" s="11"/>
      <c r="E19" s="11"/>
      <c r="F19" s="11"/>
      <c r="G19" s="11"/>
    </row>
    <row r="20" spans="1:16" ht="21" x14ac:dyDescent="0.35">
      <c r="A20" s="11"/>
      <c r="B20" s="32" t="s">
        <v>108</v>
      </c>
      <c r="C20" s="11"/>
      <c r="D20" s="11"/>
      <c r="E20" s="11"/>
      <c r="F20" s="11"/>
      <c r="G20" s="11"/>
    </row>
    <row r="22" spans="1:16" x14ac:dyDescent="0.25">
      <c r="B22" s="17"/>
      <c r="C22" s="17"/>
      <c r="D22" s="17"/>
      <c r="E22" s="17"/>
      <c r="F22" s="17"/>
      <c r="G22" s="17"/>
      <c r="H22" s="17"/>
      <c r="I22" s="1"/>
      <c r="J22" s="1"/>
    </row>
    <row r="23" spans="1:16" x14ac:dyDescent="0.25">
      <c r="B23" s="1"/>
      <c r="C23" s="18"/>
      <c r="D23" s="18"/>
      <c r="E23" s="18"/>
      <c r="F23" s="18"/>
      <c r="G23" s="18"/>
      <c r="H23" s="18"/>
      <c r="I23" s="1"/>
      <c r="J23" s="1"/>
    </row>
    <row r="24" spans="1:16" x14ac:dyDescent="0.25">
      <c r="B24" s="1"/>
      <c r="C24" s="1"/>
      <c r="D24" s="18"/>
      <c r="E24" s="18"/>
      <c r="F24" s="18"/>
      <c r="G24" s="18"/>
      <c r="H24" s="18"/>
      <c r="I24" s="1"/>
      <c r="J24" s="1"/>
    </row>
    <row r="25" spans="1:16" x14ac:dyDescent="0.25">
      <c r="B25" s="1"/>
      <c r="C25" s="1"/>
      <c r="D25" s="1"/>
      <c r="E25" s="18"/>
      <c r="F25" s="18"/>
      <c r="G25" s="18"/>
      <c r="H25" s="18"/>
      <c r="I25" s="1"/>
      <c r="J25" s="1"/>
    </row>
    <row r="26" spans="1:16" x14ac:dyDescent="0.25">
      <c r="B26" s="1"/>
      <c r="C26" s="1"/>
      <c r="D26" s="1"/>
      <c r="E26" s="1"/>
      <c r="F26" s="18"/>
      <c r="G26" s="18"/>
      <c r="H26" s="18"/>
      <c r="I26" s="1"/>
      <c r="J26" s="1"/>
    </row>
    <row r="27" spans="1:16" x14ac:dyDescent="0.25">
      <c r="B27" s="1"/>
      <c r="C27" s="1"/>
      <c r="D27" s="1"/>
      <c r="E27" s="1"/>
      <c r="F27" s="1"/>
      <c r="G27" s="1"/>
      <c r="H27" s="1"/>
      <c r="I27" s="1"/>
      <c r="J27" s="1"/>
      <c r="K27" s="33">
        <f>H7</f>
        <v>43616</v>
      </c>
      <c r="L27" s="34">
        <f>H6</f>
        <v>44347</v>
      </c>
      <c r="M27" s="29" t="s">
        <v>66</v>
      </c>
      <c r="N27" s="29" t="s">
        <v>67</v>
      </c>
    </row>
    <row r="28" spans="1:16" hidden="1" x14ac:dyDescent="0.25">
      <c r="B28" t="b">
        <v>0</v>
      </c>
      <c r="C28" t="b">
        <v>0</v>
      </c>
      <c r="D28" t="b">
        <v>0</v>
      </c>
      <c r="E28" t="b">
        <v>0</v>
      </c>
      <c r="F28" t="b">
        <v>0</v>
      </c>
      <c r="K28" s="21" t="str">
        <f>IFERROR(
          INDEX(data_source!$J:$J,MATCH(TEXT(K$27,"yyyy-mm-dd")
                       &amp;$B28&amp;IF($C28=""," Total",
                          $C28&amp;IF($D28=""," Total",
                         $D28&amp;IF($E28=""," Total",
                         $E28&amp;IF($F28=""," Total",
                        $F28)))),
data_source!$A:$A,
0)),"")</f>
        <v/>
      </c>
      <c r="L28" s="21" t="str">
        <f>IFERROR(
          INDEX(data_source!$J:$J,MATCH(TEXT(L$27,"yyyy-mm-dd")
                       &amp;$B28&amp;IF($C28=""," Total",
                          $C28&amp;IF($D28=""," Total",
                         $D28&amp;IF($E28=""," Total",
                         $E28&amp;IF($F28=""," Total",
                        $F28)))),
data_source!$A:$A,
0)),"")</f>
        <v/>
      </c>
      <c r="M28" s="22">
        <f>_xlfn.NUMBERVALUE(L28)-_xlfn.NUMBERVALUE(K28)</f>
        <v>0</v>
      </c>
      <c r="N28" s="38" t="str">
        <f t="shared" ref="N28" si="0">IF(L28="","[quit] ",IFERROR(_xlfn.NUMBERVALUE(M28)/_xlfn.NUMBERVALUE(K28),"[new] "))</f>
        <v xml:space="preserve">[quit] </v>
      </c>
    </row>
    <row r="29" spans="1:16" x14ac:dyDescent="0.25">
      <c r="B29" s="16" t="s">
        <v>35</v>
      </c>
      <c r="G29" s="1"/>
      <c r="H29" s="1"/>
      <c r="I29" s="1"/>
      <c r="J29" s="1"/>
      <c r="K29" s="21">
        <f>IFERROR(
          INDEX(data_source!$J:$J,MATCH(TEXT(K$27,"yyyy-mm-dd")
                       &amp;$B29&amp;IF($C29=""," Total",
                          $C29&amp;IF($D29=""," Total",
                         $D29&amp;IF($E29=""," Total",
                         $E29&amp;IF($F29=""," Total",
                        $F29)))),
data_source!$A:$A,
0)),"")</f>
        <v>177</v>
      </c>
      <c r="L29" s="21">
        <f>IFERROR(
          INDEX(data_source!$J:$J,MATCH(TEXT(L$27,"yyyy-mm-dd")
                       &amp;$B29&amp;IF($C29=""," Total",
                          $C29&amp;IF($D29=""," Total",
                         $D29&amp;IF($E29=""," Total",
                         $E29&amp;IF($F29=""," Total",
                        $F29)))),
data_source!$A:$A,
0)),"")</f>
        <v>158</v>
      </c>
      <c r="M29" s="22">
        <f t="shared" ref="M29:M92" si="1">_xlfn.NUMBERVALUE(L29)-_xlfn.NUMBERVALUE(K29)</f>
        <v>-19</v>
      </c>
      <c r="N29" s="38">
        <f t="shared" ref="N29:N92" si="2">IF(L29="","[quit] ",IFERROR(_xlfn.NUMBERVALUE(M29)/_xlfn.NUMBERVALUE(K29),"[new] "))</f>
        <v>-0.10734463276836158</v>
      </c>
      <c r="O29" s="1"/>
      <c r="P29" s="1"/>
    </row>
    <row r="30" spans="1:16" x14ac:dyDescent="0.25">
      <c r="B30" s="15" t="s">
        <v>35</v>
      </c>
      <c r="C30" s="16" t="s">
        <v>37</v>
      </c>
      <c r="G30" s="1"/>
      <c r="H30" s="1"/>
      <c r="I30" s="1"/>
      <c r="J30" s="1"/>
      <c r="K30" s="21">
        <f>IFERROR(
          INDEX(data_source!$J:$J,MATCH(TEXT(K$27,"yyyy-mm-dd")
                       &amp;$B30&amp;IF($C30=""," Total",
                          $C30&amp;IF($D30=""," Total",
                         $D30&amp;IF($E30=""," Total",
                         $E30&amp;IF($F30=""," Total",
                        $F30)))),
data_source!$A:$A,
0)),"")</f>
        <v>49</v>
      </c>
      <c r="L30" s="21">
        <f>IFERROR(
          INDEX(data_source!$J:$J,MATCH(TEXT(L$27,"yyyy-mm-dd")
                       &amp;$B30&amp;IF($C30=""," Total",
                          $C30&amp;IF($D30=""," Total",
                         $D30&amp;IF($E30=""," Total",
                         $E30&amp;IF($F30=""," Total",
                        $F30)))),
data_source!$A:$A,
0)),"")</f>
        <v>49</v>
      </c>
      <c r="M30" s="22">
        <f t="shared" si="1"/>
        <v>0</v>
      </c>
      <c r="N30" s="38">
        <f t="shared" si="2"/>
        <v>0</v>
      </c>
      <c r="O30" s="1"/>
      <c r="P30" s="1"/>
    </row>
    <row r="31" spans="1:16" x14ac:dyDescent="0.25">
      <c r="B31" s="15" t="s">
        <v>35</v>
      </c>
      <c r="C31" s="15" t="s">
        <v>37</v>
      </c>
      <c r="D31" s="16" t="s">
        <v>38</v>
      </c>
      <c r="G31" s="1"/>
      <c r="H31" s="1"/>
      <c r="I31" s="1"/>
      <c r="J31" s="1"/>
      <c r="K31" s="21">
        <f>IFERROR(
          INDEX(data_source!$J:$J,MATCH(TEXT(K$27,"yyyy-mm-dd")
                       &amp;$B31&amp;IF($C31=""," Total",
                          $C31&amp;IF($D31=""," Total",
                         $D31&amp;IF($E31=""," Total",
                         $E31&amp;IF($F31=""," Total",
                        $F31)))),
data_source!$A:$A,
0)),"")</f>
        <v>49</v>
      </c>
      <c r="L31" s="21">
        <f>IFERROR(
          INDEX(data_source!$J:$J,MATCH(TEXT(L$27,"yyyy-mm-dd")
                       &amp;$B31&amp;IF($C31=""," Total",
                          $C31&amp;IF($D31=""," Total",
                         $D31&amp;IF($E31=""," Total",
                         $E31&amp;IF($F31=""," Total",
                        $F31)))),
data_source!$A:$A,
0)),"")</f>
        <v>49</v>
      </c>
      <c r="M31" s="22">
        <f t="shared" si="1"/>
        <v>0</v>
      </c>
      <c r="N31" s="38">
        <f t="shared" si="2"/>
        <v>0</v>
      </c>
      <c r="O31" s="1"/>
      <c r="P31" s="1"/>
    </row>
    <row r="32" spans="1:16" x14ac:dyDescent="0.25">
      <c r="B32" s="15" t="s">
        <v>35</v>
      </c>
      <c r="C32" s="15" t="s">
        <v>37</v>
      </c>
      <c r="D32" s="15" t="s">
        <v>38</v>
      </c>
      <c r="E32" s="16" t="s">
        <v>80</v>
      </c>
      <c r="G32" s="1"/>
      <c r="H32" s="1"/>
      <c r="I32" s="1"/>
      <c r="J32" s="1"/>
      <c r="K32" s="21">
        <f>IFERROR(
          INDEX(data_source!$J:$J,MATCH(TEXT(K$27,"yyyy-mm-dd")
                       &amp;$B32&amp;IF($C32=""," Total",
                          $C32&amp;IF($D32=""," Total",
                         $D32&amp;IF($E32=""," Total",
                         $E32&amp;IF($F32=""," Total",
                        $F32)))),
data_source!$A:$A,
0)),"")</f>
        <v>49</v>
      </c>
      <c r="L32" s="21">
        <f>IFERROR(
          INDEX(data_source!$J:$J,MATCH(TEXT(L$27,"yyyy-mm-dd")
                       &amp;$B32&amp;IF($C32=""," Total",
                          $C32&amp;IF($D32=""," Total",
                         $D32&amp;IF($E32=""," Total",
                         $E32&amp;IF($F32=""," Total",
                        $F32)))),
data_source!$A:$A,
0)),"")</f>
        <v>49</v>
      </c>
      <c r="M32" s="22">
        <f t="shared" si="1"/>
        <v>0</v>
      </c>
      <c r="N32" s="38">
        <f t="shared" si="2"/>
        <v>0</v>
      </c>
      <c r="O32" s="1"/>
      <c r="P32" s="1"/>
    </row>
    <row r="33" spans="2:16" x14ac:dyDescent="0.25">
      <c r="B33" s="15" t="s">
        <v>35</v>
      </c>
      <c r="C33" s="15" t="s">
        <v>37</v>
      </c>
      <c r="D33" s="15" t="s">
        <v>38</v>
      </c>
      <c r="E33" s="15" t="s">
        <v>80</v>
      </c>
      <c r="F33" s="16" t="s">
        <v>21</v>
      </c>
      <c r="G33" s="1"/>
      <c r="H33" s="1"/>
      <c r="I33" s="1"/>
      <c r="J33" s="1"/>
      <c r="K33" s="21">
        <f>IFERROR(
          INDEX(data_source!$J:$J,MATCH(TEXT(K$27,"yyyy-mm-dd")
                       &amp;$B33&amp;IF($C33=""," Total",
                          $C33&amp;IF($D33=""," Total",
                         $D33&amp;IF($E33=""," Total",
                         $E33&amp;IF($F33=""," Total",
                        $F33)))),
data_source!$A:$A,
0)),"")</f>
        <v>49</v>
      </c>
      <c r="L33" s="21">
        <f>IFERROR(
          INDEX(data_source!$J:$J,MATCH(TEXT(L$27,"yyyy-mm-dd")
                       &amp;$B33&amp;IF($C33=""," Total",
                          $C33&amp;IF($D33=""," Total",
                         $D33&amp;IF($E33=""," Total",
                         $E33&amp;IF($F33=""," Total",
                        $F33)))),
data_source!$A:$A,
0)),"")</f>
        <v>49</v>
      </c>
      <c r="M33" s="22">
        <f t="shared" si="1"/>
        <v>0</v>
      </c>
      <c r="N33" s="38">
        <f t="shared" si="2"/>
        <v>0</v>
      </c>
      <c r="O33" s="1"/>
      <c r="P33" s="1"/>
    </row>
    <row r="34" spans="2:16" x14ac:dyDescent="0.25">
      <c r="B34" s="15" t="s">
        <v>35</v>
      </c>
      <c r="C34" s="16" t="s">
        <v>36</v>
      </c>
      <c r="G34" s="1"/>
      <c r="H34" s="1"/>
      <c r="I34" s="1"/>
      <c r="J34" s="1"/>
      <c r="K34" s="21">
        <f>IFERROR(
          INDEX(data_source!$J:$J,MATCH(TEXT(K$27,"yyyy-mm-dd")
                       &amp;$B34&amp;IF($C34=""," Total",
                          $C34&amp;IF($D34=""," Total",
                         $D34&amp;IF($E34=""," Total",
                         $E34&amp;IF($F34=""," Total",
                        $F34)))),
data_source!$A:$A,
0)),"")</f>
        <v>128</v>
      </c>
      <c r="L34" s="21">
        <f>IFERROR(
          INDEX(data_source!$J:$J,MATCH(TEXT(L$27,"yyyy-mm-dd")
                       &amp;$B34&amp;IF($C34=""," Total",
                          $C34&amp;IF($D34=""," Total",
                         $D34&amp;IF($E34=""," Total",
                         $E34&amp;IF($F34=""," Total",
                        $F34)))),
data_source!$A:$A,
0)),"")</f>
        <v>109</v>
      </c>
      <c r="M34" s="22">
        <f t="shared" si="1"/>
        <v>-19</v>
      </c>
      <c r="N34" s="38">
        <f t="shared" si="2"/>
        <v>-0.1484375</v>
      </c>
      <c r="O34" s="1"/>
      <c r="P34" s="1"/>
    </row>
    <row r="35" spans="2:16" x14ac:dyDescent="0.25">
      <c r="B35" s="15" t="s">
        <v>35</v>
      </c>
      <c r="C35" s="15" t="s">
        <v>36</v>
      </c>
      <c r="D35" s="16" t="s">
        <v>38</v>
      </c>
      <c r="G35" s="1"/>
      <c r="H35" s="1"/>
      <c r="I35" s="1"/>
      <c r="J35" s="1"/>
      <c r="K35" s="21">
        <f>IFERROR(
          INDEX(data_source!$J:$J,MATCH(TEXT(K$27,"yyyy-mm-dd")
                       &amp;$B35&amp;IF($C35=""," Total",
                          $C35&amp;IF($D35=""," Total",
                         $D35&amp;IF($E35=""," Total",
                         $E35&amp;IF($F35=""," Total",
                        $F35)))),
data_source!$A:$A,
0)),"")</f>
        <v>128</v>
      </c>
      <c r="L35" s="21">
        <f>IFERROR(
          INDEX(data_source!$J:$J,MATCH(TEXT(L$27,"yyyy-mm-dd")
                       &amp;$B35&amp;IF($C35=""," Total",
                          $C35&amp;IF($D35=""," Total",
                         $D35&amp;IF($E35=""," Total",
                         $E35&amp;IF($F35=""," Total",
                        $F35)))),
data_source!$A:$A,
0)),"")</f>
        <v>109</v>
      </c>
      <c r="M35" s="22">
        <f t="shared" si="1"/>
        <v>-19</v>
      </c>
      <c r="N35" s="38">
        <f t="shared" si="2"/>
        <v>-0.1484375</v>
      </c>
      <c r="O35" s="1"/>
      <c r="P35" s="1"/>
    </row>
    <row r="36" spans="2:16" x14ac:dyDescent="0.25">
      <c r="B36" s="15" t="s">
        <v>35</v>
      </c>
      <c r="C36" s="15" t="s">
        <v>36</v>
      </c>
      <c r="D36" s="15" t="s">
        <v>38</v>
      </c>
      <c r="E36" s="16" t="s">
        <v>80</v>
      </c>
      <c r="G36" s="1"/>
      <c r="H36" s="1"/>
      <c r="I36" s="1"/>
      <c r="J36" s="1"/>
      <c r="K36" s="21">
        <f>IFERROR(
          INDEX(data_source!$J:$J,MATCH(TEXT(K$27,"yyyy-mm-dd")
                       &amp;$B36&amp;IF($C36=""," Total",
                          $C36&amp;IF($D36=""," Total",
                         $D36&amp;IF($E36=""," Total",
                         $E36&amp;IF($F36=""," Total",
                        $F36)))),
data_source!$A:$A,
0)),"")</f>
        <v>128</v>
      </c>
      <c r="L36" s="21">
        <f>IFERROR(
          INDEX(data_source!$J:$J,MATCH(TEXT(L$27,"yyyy-mm-dd")
                       &amp;$B36&amp;IF($C36=""," Total",
                          $C36&amp;IF($D36=""," Total",
                         $D36&amp;IF($E36=""," Total",
                         $E36&amp;IF($F36=""," Total",
                        $F36)))),
data_source!$A:$A,
0)),"")</f>
        <v>109</v>
      </c>
      <c r="M36" s="22">
        <f t="shared" si="1"/>
        <v>-19</v>
      </c>
      <c r="N36" s="38">
        <f t="shared" si="2"/>
        <v>-0.1484375</v>
      </c>
      <c r="O36" s="1"/>
      <c r="P36" s="1"/>
    </row>
    <row r="37" spans="2:16" x14ac:dyDescent="0.25">
      <c r="B37" s="15" t="s">
        <v>35</v>
      </c>
      <c r="C37" s="15" t="s">
        <v>36</v>
      </c>
      <c r="D37" s="15" t="s">
        <v>38</v>
      </c>
      <c r="E37" s="15" t="s">
        <v>80</v>
      </c>
      <c r="F37" s="16" t="s">
        <v>11</v>
      </c>
      <c r="G37" s="1"/>
      <c r="H37" s="1"/>
      <c r="I37" s="1"/>
      <c r="J37" s="1"/>
      <c r="K37" s="21" t="str">
        <f>IFERROR(
          INDEX(data_source!$J:$J,MATCH(TEXT(K$27,"yyyy-mm-dd")
                       &amp;$B37&amp;IF($C37=""," Total",
                          $C37&amp;IF($D37=""," Total",
                         $D37&amp;IF($E37=""," Total",
                         $E37&amp;IF($F37=""," Total",
                        $F37)))),
data_source!$A:$A,
0)),"")</f>
        <v/>
      </c>
      <c r="L37" s="21" t="str">
        <f>IFERROR(
          INDEX(data_source!$J:$J,MATCH(TEXT(L$27,"yyyy-mm-dd")
                       &amp;$B37&amp;IF($C37=""," Total",
                          $C37&amp;IF($D37=""," Total",
                         $D37&amp;IF($E37=""," Total",
                         $E37&amp;IF($F37=""," Total",
                        $F37)))),
data_source!$A:$A,
0)),"")</f>
        <v/>
      </c>
      <c r="M37" s="22">
        <f t="shared" si="1"/>
        <v>0</v>
      </c>
      <c r="N37" s="38" t="str">
        <f t="shared" si="2"/>
        <v xml:space="preserve">[quit] </v>
      </c>
      <c r="O37" s="1"/>
      <c r="P37" s="1"/>
    </row>
    <row r="38" spans="2:16" x14ac:dyDescent="0.25">
      <c r="B38" s="15" t="s">
        <v>35</v>
      </c>
      <c r="C38" s="15" t="s">
        <v>36</v>
      </c>
      <c r="D38" s="15" t="s">
        <v>38</v>
      </c>
      <c r="E38" s="15" t="s">
        <v>80</v>
      </c>
      <c r="F38" s="16" t="s">
        <v>10</v>
      </c>
      <c r="G38" s="1"/>
      <c r="H38" s="1"/>
      <c r="I38" s="1"/>
      <c r="J38" s="1"/>
      <c r="K38" s="21">
        <f>IFERROR(
          INDEX(data_source!$J:$J,MATCH(TEXT(K$27,"yyyy-mm-dd")
                       &amp;$B38&amp;IF($C38=""," Total",
                          $C38&amp;IF($D38=""," Total",
                         $D38&amp;IF($E38=""," Total",
                         $E38&amp;IF($F38=""," Total",
                        $F38)))),
data_source!$A:$A,
0)),"")</f>
        <v>12</v>
      </c>
      <c r="L38" s="21">
        <f>IFERROR(
          INDEX(data_source!$J:$J,MATCH(TEXT(L$27,"yyyy-mm-dd")
                       &amp;$B38&amp;IF($C38=""," Total",
                          $C38&amp;IF($D38=""," Total",
                         $D38&amp;IF($E38=""," Total",
                         $E38&amp;IF($F38=""," Total",
                        $F38)))),
data_source!$A:$A,
0)),"")</f>
        <v>41</v>
      </c>
      <c r="M38" s="22">
        <f t="shared" si="1"/>
        <v>29</v>
      </c>
      <c r="N38" s="38">
        <f t="shared" si="2"/>
        <v>2.4166666666666665</v>
      </c>
      <c r="O38" s="1"/>
      <c r="P38" s="1"/>
    </row>
    <row r="39" spans="2:16" x14ac:dyDescent="0.25">
      <c r="B39" s="15" t="s">
        <v>35</v>
      </c>
      <c r="C39" s="15" t="s">
        <v>36</v>
      </c>
      <c r="D39" s="15" t="s">
        <v>38</v>
      </c>
      <c r="E39" s="15" t="s">
        <v>80</v>
      </c>
      <c r="F39" s="16" t="s">
        <v>19</v>
      </c>
      <c r="G39" s="1"/>
      <c r="H39" s="1"/>
      <c r="I39" s="1"/>
      <c r="J39" s="1"/>
      <c r="K39" s="21" t="str">
        <f>IFERROR(
          INDEX(data_source!$J:$J,MATCH(TEXT(K$27,"yyyy-mm-dd")
                       &amp;$B39&amp;IF($C39=""," Total",
                          $C39&amp;IF($D39=""," Total",
                         $D39&amp;IF($E39=""," Total",
                         $E39&amp;IF($F39=""," Total",
                        $F39)))),
data_source!$A:$A,
0)),"")</f>
        <v/>
      </c>
      <c r="L39" s="21" t="str">
        <f>IFERROR(
          INDEX(data_source!$J:$J,MATCH(TEXT(L$27,"yyyy-mm-dd")
                       &amp;$B39&amp;IF($C39=""," Total",
                          $C39&amp;IF($D39=""," Total",
                         $D39&amp;IF($E39=""," Total",
                         $E39&amp;IF($F39=""," Total",
                        $F39)))),
data_source!$A:$A,
0)),"")</f>
        <v/>
      </c>
      <c r="M39" s="22">
        <f t="shared" si="1"/>
        <v>0</v>
      </c>
      <c r="N39" s="38" t="str">
        <f t="shared" si="2"/>
        <v xml:space="preserve">[quit] </v>
      </c>
      <c r="O39" s="1"/>
      <c r="P39" s="1"/>
    </row>
    <row r="40" spans="2:16" x14ac:dyDescent="0.25">
      <c r="B40" s="15" t="s">
        <v>35</v>
      </c>
      <c r="C40" s="15" t="s">
        <v>36</v>
      </c>
      <c r="D40" s="15" t="s">
        <v>38</v>
      </c>
      <c r="E40" s="15" t="s">
        <v>80</v>
      </c>
      <c r="F40" s="16" t="s">
        <v>14</v>
      </c>
      <c r="G40" s="1"/>
      <c r="H40" s="1"/>
      <c r="I40" s="1"/>
      <c r="J40" s="1"/>
      <c r="K40" s="21">
        <f>IFERROR(
          INDEX(data_source!$J:$J,MATCH(TEXT(K$27,"yyyy-mm-dd")
                       &amp;$B40&amp;IF($C40=""," Total",
                          $C40&amp;IF($D40=""," Total",
                         $D40&amp;IF($E40=""," Total",
                         $E40&amp;IF($F40=""," Total",
                        $F40)))),
data_source!$A:$A,
0)),"")</f>
        <v>33</v>
      </c>
      <c r="L40" s="21">
        <f>IFERROR(
          INDEX(data_source!$J:$J,MATCH(TEXT(L$27,"yyyy-mm-dd")
                       &amp;$B40&amp;IF($C40=""," Total",
                          $C40&amp;IF($D40=""," Total",
                         $D40&amp;IF($E40=""," Total",
                         $E40&amp;IF($F40=""," Total",
                        $F40)))),
data_source!$A:$A,
0)),"")</f>
        <v>3</v>
      </c>
      <c r="M40" s="22">
        <f t="shared" si="1"/>
        <v>-30</v>
      </c>
      <c r="N40" s="38">
        <f t="shared" si="2"/>
        <v>-0.90909090909090906</v>
      </c>
      <c r="O40" s="1"/>
      <c r="P40" s="1"/>
    </row>
    <row r="41" spans="2:16" x14ac:dyDescent="0.25">
      <c r="B41" s="15" t="s">
        <v>35</v>
      </c>
      <c r="C41" s="15" t="s">
        <v>36</v>
      </c>
      <c r="D41" s="15" t="s">
        <v>38</v>
      </c>
      <c r="E41" s="15" t="s">
        <v>80</v>
      </c>
      <c r="F41" s="16" t="s">
        <v>13</v>
      </c>
      <c r="G41" s="1"/>
      <c r="H41" s="1"/>
      <c r="I41" s="1"/>
      <c r="J41" s="1"/>
      <c r="K41" s="21" t="str">
        <f>IFERROR(
          INDEX(data_source!$J:$J,MATCH(TEXT(K$27,"yyyy-mm-dd")
                       &amp;$B41&amp;IF($C41=""," Total",
                          $C41&amp;IF($D41=""," Total",
                         $D41&amp;IF($E41=""," Total",
                         $E41&amp;IF($F41=""," Total",
                        $F41)))),
data_source!$A:$A,
0)),"")</f>
        <v/>
      </c>
      <c r="L41" s="21" t="str">
        <f>IFERROR(
          INDEX(data_source!$J:$J,MATCH(TEXT(L$27,"yyyy-mm-dd")
                       &amp;$B41&amp;IF($C41=""," Total",
                          $C41&amp;IF($D41=""," Total",
                         $D41&amp;IF($E41=""," Total",
                         $E41&amp;IF($F41=""," Total",
                        $F41)))),
data_source!$A:$A,
0)),"")</f>
        <v/>
      </c>
      <c r="M41" s="22">
        <f t="shared" si="1"/>
        <v>0</v>
      </c>
      <c r="N41" s="38" t="str">
        <f t="shared" si="2"/>
        <v xml:space="preserve">[quit] </v>
      </c>
      <c r="O41" s="1"/>
      <c r="P41" s="1"/>
    </row>
    <row r="42" spans="2:16" x14ac:dyDescent="0.25">
      <c r="B42" s="15" t="s">
        <v>35</v>
      </c>
      <c r="C42" s="15" t="s">
        <v>36</v>
      </c>
      <c r="D42" s="15" t="s">
        <v>38</v>
      </c>
      <c r="E42" s="15" t="s">
        <v>80</v>
      </c>
      <c r="F42" s="16" t="s">
        <v>20</v>
      </c>
      <c r="G42" s="1"/>
      <c r="H42" s="1"/>
      <c r="I42" s="1"/>
      <c r="J42" s="1"/>
      <c r="K42" s="21">
        <f>IFERROR(
          INDEX(data_source!$J:$J,MATCH(TEXT(K$27,"yyyy-mm-dd")
                       &amp;$B42&amp;IF($C42=""," Total",
                          $C42&amp;IF($D42=""," Total",
                         $D42&amp;IF($E42=""," Total",
                         $E42&amp;IF($F42=""," Total",
                        $F42)))),
data_source!$A:$A,
0)),"")</f>
        <v>44</v>
      </c>
      <c r="L42" s="21">
        <f>IFERROR(
          INDEX(data_source!$J:$J,MATCH(TEXT(L$27,"yyyy-mm-dd")
                       &amp;$B42&amp;IF($C42=""," Total",
                          $C42&amp;IF($D42=""," Total",
                         $D42&amp;IF($E42=""," Total",
                         $E42&amp;IF($F42=""," Total",
                        $F42)))),
data_source!$A:$A,
0)),"")</f>
        <v>44</v>
      </c>
      <c r="M42" s="22">
        <f t="shared" si="1"/>
        <v>0</v>
      </c>
      <c r="N42" s="38">
        <f t="shared" si="2"/>
        <v>0</v>
      </c>
      <c r="O42" s="1"/>
      <c r="P42" s="1"/>
    </row>
    <row r="43" spans="2:16" x14ac:dyDescent="0.25">
      <c r="B43" s="15" t="s">
        <v>35</v>
      </c>
      <c r="C43" s="15" t="s">
        <v>36</v>
      </c>
      <c r="D43" s="15" t="s">
        <v>38</v>
      </c>
      <c r="E43" s="15" t="s">
        <v>80</v>
      </c>
      <c r="F43" s="16" t="s">
        <v>8</v>
      </c>
      <c r="G43" s="1"/>
      <c r="H43" s="1"/>
      <c r="I43" s="1"/>
      <c r="J43" s="1"/>
      <c r="K43" s="21">
        <f>IFERROR(
          INDEX(data_source!$J:$J,MATCH(TEXT(K$27,"yyyy-mm-dd")
                       &amp;$B43&amp;IF($C43=""," Total",
                          $C43&amp;IF($D43=""," Total",
                         $D43&amp;IF($E43=""," Total",
                         $E43&amp;IF($F43=""," Total",
                        $F43)))),
data_source!$A:$A,
0)),"")</f>
        <v>39</v>
      </c>
      <c r="L43" s="21">
        <f>IFERROR(
          INDEX(data_source!$J:$J,MATCH(TEXT(L$27,"yyyy-mm-dd")
                       &amp;$B43&amp;IF($C43=""," Total",
                          $C43&amp;IF($D43=""," Total",
                         $D43&amp;IF($E43=""," Total",
                         $E43&amp;IF($F43=""," Total",
                        $F43)))),
data_source!$A:$A,
0)),"")</f>
        <v>21</v>
      </c>
      <c r="M43" s="22">
        <f t="shared" si="1"/>
        <v>-18</v>
      </c>
      <c r="N43" s="38">
        <f t="shared" si="2"/>
        <v>-0.46153846153846156</v>
      </c>
      <c r="O43" s="1"/>
      <c r="P43" s="1"/>
    </row>
    <row r="44" spans="2:16" x14ac:dyDescent="0.25">
      <c r="B44" s="16" t="s">
        <v>57</v>
      </c>
      <c r="G44" s="1"/>
      <c r="H44" s="1"/>
      <c r="I44" s="1"/>
      <c r="J44" s="1"/>
      <c r="K44" s="21">
        <f>IFERROR(
          INDEX(data_source!$J:$J,MATCH(TEXT(K$27,"yyyy-mm-dd")
                       &amp;$B44&amp;IF($C44=""," Total",
                          $C44&amp;IF($D44=""," Total",
                         $D44&amp;IF($E44=""," Total",
                         $E44&amp;IF($F44=""," Total",
                        $F44)))),
data_source!$A:$A,
0)),"")</f>
        <v>126</v>
      </c>
      <c r="L44" s="21">
        <f>IFERROR(
          INDEX(data_source!$J:$J,MATCH(TEXT(L$27,"yyyy-mm-dd")
                       &amp;$B44&amp;IF($C44=""," Total",
                          $C44&amp;IF($D44=""," Total",
                         $D44&amp;IF($E44=""," Total",
                         $E44&amp;IF($F44=""," Total",
                        $F44)))),
data_source!$A:$A,
0)),"")</f>
        <v>126</v>
      </c>
      <c r="M44" s="22">
        <f t="shared" si="1"/>
        <v>0</v>
      </c>
      <c r="N44" s="38">
        <f t="shared" si="2"/>
        <v>0</v>
      </c>
      <c r="O44" s="1"/>
      <c r="P44" s="1"/>
    </row>
    <row r="45" spans="2:16" x14ac:dyDescent="0.25">
      <c r="B45" s="15" t="s">
        <v>57</v>
      </c>
      <c r="C45" s="16" t="s">
        <v>58</v>
      </c>
      <c r="K45" s="21">
        <f>IFERROR(
          INDEX(data_source!$J:$J,MATCH(TEXT(K$27,"yyyy-mm-dd")
                       &amp;$B45&amp;IF($C45=""," Total",
                          $C45&amp;IF($D45=""," Total",
                         $D45&amp;IF($E45=""," Total",
                         $E45&amp;IF($F45=""," Total",
                        $F45)))),
data_source!$A:$A,
0)),"")</f>
        <v>126</v>
      </c>
      <c r="L45" s="21">
        <f>IFERROR(
          INDEX(data_source!$J:$J,MATCH(TEXT(L$27,"yyyy-mm-dd")
                       &amp;$B45&amp;IF($C45=""," Total",
                          $C45&amp;IF($D45=""," Total",
                         $D45&amp;IF($E45=""," Total",
                         $E45&amp;IF($F45=""," Total",
                        $F45)))),
data_source!$A:$A,
0)),"")</f>
        <v>126</v>
      </c>
      <c r="M45" s="22">
        <f t="shared" si="1"/>
        <v>0</v>
      </c>
      <c r="N45" s="38">
        <f t="shared" si="2"/>
        <v>0</v>
      </c>
      <c r="O45" s="1"/>
    </row>
    <row r="46" spans="2:16" x14ac:dyDescent="0.25">
      <c r="B46" s="15" t="s">
        <v>57</v>
      </c>
      <c r="C46" s="15" t="s">
        <v>58</v>
      </c>
      <c r="D46" s="16" t="s">
        <v>60</v>
      </c>
      <c r="K46" s="21">
        <f>IFERROR(
          INDEX(data_source!$J:$J,MATCH(TEXT(K$27,"yyyy-mm-dd")
                       &amp;$B46&amp;IF($C46=""," Total",
                          $C46&amp;IF($D46=""," Total",
                         $D46&amp;IF($E46=""," Total",
                         $E46&amp;IF($F46=""," Total",
                        $F46)))),
data_source!$A:$A,
0)),"")</f>
        <v>110</v>
      </c>
      <c r="L46" s="21">
        <f>IFERROR(
          INDEX(data_source!$J:$J,MATCH(TEXT(L$27,"yyyy-mm-dd")
                       &amp;$B46&amp;IF($C46=""," Total",
                          $C46&amp;IF($D46=""," Total",
                         $D46&amp;IF($E46=""," Total",
                         $E46&amp;IF($F46=""," Total",
                        $F46)))),
data_source!$A:$A,
0)),"")</f>
        <v>110</v>
      </c>
      <c r="M46" s="22">
        <f t="shared" si="1"/>
        <v>0</v>
      </c>
      <c r="N46" s="38">
        <f t="shared" si="2"/>
        <v>0</v>
      </c>
      <c r="O46" s="1"/>
    </row>
    <row r="47" spans="2:16" x14ac:dyDescent="0.25">
      <c r="B47" s="15" t="s">
        <v>57</v>
      </c>
      <c r="C47" s="15" t="s">
        <v>58</v>
      </c>
      <c r="D47" s="15" t="s">
        <v>60</v>
      </c>
      <c r="E47" s="16" t="s">
        <v>81</v>
      </c>
      <c r="K47" s="21">
        <f>IFERROR(
          INDEX(data_source!$J:$J,MATCH(TEXT(K$27,"yyyy-mm-dd")
                       &amp;$B47&amp;IF($C47=""," Total",
                          $C47&amp;IF($D47=""," Total",
                         $D47&amp;IF($E47=""," Total",
                         $E47&amp;IF($F47=""," Total",
                        $F47)))),
data_source!$A:$A,
0)),"")</f>
        <v>96</v>
      </c>
      <c r="L47" s="21">
        <f>IFERROR(
          INDEX(data_source!$J:$J,MATCH(TEXT(L$27,"yyyy-mm-dd")
                       &amp;$B47&amp;IF($C47=""," Total",
                          $C47&amp;IF($D47=""," Total",
                         $D47&amp;IF($E47=""," Total",
                         $E47&amp;IF($F47=""," Total",
                        $F47)))),
data_source!$A:$A,
0)),"")</f>
        <v>96</v>
      </c>
      <c r="M47" s="22">
        <f t="shared" si="1"/>
        <v>0</v>
      </c>
      <c r="N47" s="38">
        <f t="shared" si="2"/>
        <v>0</v>
      </c>
      <c r="O47" s="1"/>
    </row>
    <row r="48" spans="2:16" x14ac:dyDescent="0.25">
      <c r="B48" s="15" t="s">
        <v>57</v>
      </c>
      <c r="C48" s="15" t="s">
        <v>58</v>
      </c>
      <c r="D48" s="15" t="s">
        <v>60</v>
      </c>
      <c r="E48" s="15" t="s">
        <v>81</v>
      </c>
      <c r="F48" s="16" t="s">
        <v>18</v>
      </c>
      <c r="K48" s="21">
        <f>IFERROR(
          INDEX(data_source!$J:$J,MATCH(TEXT(K$27,"yyyy-mm-dd")
                       &amp;$B48&amp;IF($C48=""," Total",
                          $C48&amp;IF($D48=""," Total",
                         $D48&amp;IF($E48=""," Total",
                         $E48&amp;IF($F48=""," Total",
                        $F48)))),
data_source!$A:$A,
0)),"")</f>
        <v>47</v>
      </c>
      <c r="L48" s="21">
        <f>IFERROR(
          INDEX(data_source!$J:$J,MATCH(TEXT(L$27,"yyyy-mm-dd")
                       &amp;$B48&amp;IF($C48=""," Total",
                          $C48&amp;IF($D48=""," Total",
                         $D48&amp;IF($E48=""," Total",
                         $E48&amp;IF($F48=""," Total",
                        $F48)))),
data_source!$A:$A,
0)),"")</f>
        <v>47</v>
      </c>
      <c r="M48" s="22">
        <f t="shared" si="1"/>
        <v>0</v>
      </c>
      <c r="N48" s="38">
        <f t="shared" si="2"/>
        <v>0</v>
      </c>
      <c r="O48" s="1"/>
    </row>
    <row r="49" spans="2:15" x14ac:dyDescent="0.25">
      <c r="B49" s="15" t="s">
        <v>57</v>
      </c>
      <c r="C49" s="15" t="s">
        <v>58</v>
      </c>
      <c r="D49" s="15" t="s">
        <v>60</v>
      </c>
      <c r="E49" s="15" t="s">
        <v>81</v>
      </c>
      <c r="F49" s="16" t="s">
        <v>9</v>
      </c>
      <c r="K49" s="21">
        <f>IFERROR(
          INDEX(data_source!$J:$J,MATCH(TEXT(K$27,"yyyy-mm-dd")
                       &amp;$B49&amp;IF($C49=""," Total",
                          $C49&amp;IF($D49=""," Total",
                         $D49&amp;IF($E49=""," Total",
                         $E49&amp;IF($F49=""," Total",
                        $F49)))),
data_source!$A:$A,
0)),"")</f>
        <v>49</v>
      </c>
      <c r="L49" s="21">
        <f>IFERROR(
          INDEX(data_source!$J:$J,MATCH(TEXT(L$27,"yyyy-mm-dd")
                       &amp;$B49&amp;IF($C49=""," Total",
                          $C49&amp;IF($D49=""," Total",
                         $D49&amp;IF($E49=""," Total",
                         $E49&amp;IF($F49=""," Total",
                        $F49)))),
data_source!$A:$A,
0)),"")</f>
        <v>49</v>
      </c>
      <c r="M49" s="22">
        <f t="shared" si="1"/>
        <v>0</v>
      </c>
      <c r="N49" s="38">
        <f t="shared" si="2"/>
        <v>0</v>
      </c>
      <c r="O49" s="1"/>
    </row>
    <row r="50" spans="2:15" x14ac:dyDescent="0.25">
      <c r="B50" s="15" t="s">
        <v>57</v>
      </c>
      <c r="C50" s="15" t="s">
        <v>58</v>
      </c>
      <c r="D50" s="15" t="s">
        <v>60</v>
      </c>
      <c r="E50" s="16" t="s">
        <v>82</v>
      </c>
      <c r="K50" s="21">
        <f>IFERROR(
          INDEX(data_source!$J:$J,MATCH(TEXT(K$27,"yyyy-mm-dd")
                       &amp;$B50&amp;IF($C50=""," Total",
                          $C50&amp;IF($D50=""," Total",
                         $D50&amp;IF($E50=""," Total",
                         $E50&amp;IF($F50=""," Total",
                        $F50)))),
data_source!$A:$A,
0)),"")</f>
        <v>14</v>
      </c>
      <c r="L50" s="21">
        <f>IFERROR(
          INDEX(data_source!$J:$J,MATCH(TEXT(L$27,"yyyy-mm-dd")
                       &amp;$B50&amp;IF($C50=""," Total",
                          $C50&amp;IF($D50=""," Total",
                         $D50&amp;IF($E50=""," Total",
                         $E50&amp;IF($F50=""," Total",
                        $F50)))),
data_source!$A:$A,
0)),"")</f>
        <v>14</v>
      </c>
      <c r="M50" s="22">
        <f t="shared" si="1"/>
        <v>0</v>
      </c>
      <c r="N50" s="38">
        <f t="shared" si="2"/>
        <v>0</v>
      </c>
      <c r="O50" s="1"/>
    </row>
    <row r="51" spans="2:15" x14ac:dyDescent="0.25">
      <c r="B51" s="15" t="s">
        <v>57</v>
      </c>
      <c r="C51" s="15" t="s">
        <v>58</v>
      </c>
      <c r="D51" s="15" t="s">
        <v>60</v>
      </c>
      <c r="E51" s="15" t="s">
        <v>82</v>
      </c>
      <c r="F51" s="16" t="s">
        <v>11</v>
      </c>
      <c r="K51" s="21">
        <f>IFERROR(
          INDEX(data_source!$J:$J,MATCH(TEXT(K$27,"yyyy-mm-dd")
                       &amp;$B51&amp;IF($C51=""," Total",
                          $C51&amp;IF($D51=""," Total",
                         $D51&amp;IF($E51=""," Total",
                         $E51&amp;IF($F51=""," Total",
                        $F51)))),
data_source!$A:$A,
0)),"")</f>
        <v>3</v>
      </c>
      <c r="L51" s="21">
        <f>IFERROR(
          INDEX(data_source!$J:$J,MATCH(TEXT(L$27,"yyyy-mm-dd")
                       &amp;$B51&amp;IF($C51=""," Total",
                          $C51&amp;IF($D51=""," Total",
                         $D51&amp;IF($E51=""," Total",
                         $E51&amp;IF($F51=""," Total",
                        $F51)))),
data_source!$A:$A,
0)),"")</f>
        <v>3</v>
      </c>
      <c r="M51" s="22">
        <f t="shared" si="1"/>
        <v>0</v>
      </c>
      <c r="N51" s="38">
        <f t="shared" si="2"/>
        <v>0</v>
      </c>
      <c r="O51" s="1"/>
    </row>
    <row r="52" spans="2:15" x14ac:dyDescent="0.25">
      <c r="B52" s="15" t="s">
        <v>57</v>
      </c>
      <c r="C52" s="15" t="s">
        <v>58</v>
      </c>
      <c r="D52" s="16" t="s">
        <v>59</v>
      </c>
      <c r="K52" s="21">
        <f>IFERROR(
          INDEX(data_source!$J:$J,MATCH(TEXT(K$27,"yyyy-mm-dd")
                       &amp;$B52&amp;IF($C52=""," Total",
                          $C52&amp;IF($D52=""," Total",
                         $D52&amp;IF($E52=""," Total",
                         $E52&amp;IF($F52=""," Total",
                        $F52)))),
data_source!$A:$A,
0)),"")</f>
        <v>16</v>
      </c>
      <c r="L52" s="21">
        <f>IFERROR(
          INDEX(data_source!$J:$J,MATCH(TEXT(L$27,"yyyy-mm-dd")
                       &amp;$B52&amp;IF($C52=""," Total",
                          $C52&amp;IF($D52=""," Total",
                         $D52&amp;IF($E52=""," Total",
                         $E52&amp;IF($F52=""," Total",
                        $F52)))),
data_source!$A:$A,
0)),"")</f>
        <v>16</v>
      </c>
      <c r="M52" s="22">
        <f t="shared" si="1"/>
        <v>0</v>
      </c>
      <c r="N52" s="38">
        <f t="shared" si="2"/>
        <v>0</v>
      </c>
      <c r="O52" s="1"/>
    </row>
    <row r="53" spans="2:15" x14ac:dyDescent="0.25">
      <c r="B53" s="15" t="s">
        <v>57</v>
      </c>
      <c r="C53" s="15" t="s">
        <v>58</v>
      </c>
      <c r="D53" s="15" t="s">
        <v>59</v>
      </c>
      <c r="E53" s="16" t="s">
        <v>80</v>
      </c>
      <c r="K53" s="21">
        <f>IFERROR(
          INDEX(data_source!$J:$J,MATCH(TEXT(K$27,"yyyy-mm-dd")
                       &amp;$B53&amp;IF($C53=""," Total",
                          $C53&amp;IF($D53=""," Total",
                         $D53&amp;IF($E53=""," Total",
                         $E53&amp;IF($F53=""," Total",
                        $F53)))),
data_source!$A:$A,
0)),"")</f>
        <v>16</v>
      </c>
      <c r="L53" s="21">
        <f>IFERROR(
          INDEX(data_source!$J:$J,MATCH(TEXT(L$27,"yyyy-mm-dd")
                       &amp;$B53&amp;IF($C53=""," Total",
                          $C53&amp;IF($D53=""," Total",
                         $D53&amp;IF($E53=""," Total",
                         $E53&amp;IF($F53=""," Total",
                        $F53)))),
data_source!$A:$A,
0)),"")</f>
        <v>16</v>
      </c>
      <c r="M53" s="22">
        <f t="shared" si="1"/>
        <v>0</v>
      </c>
      <c r="N53" s="38">
        <f t="shared" si="2"/>
        <v>0</v>
      </c>
      <c r="O53" s="1"/>
    </row>
    <row r="54" spans="2:15" x14ac:dyDescent="0.25">
      <c r="B54" s="15" t="s">
        <v>57</v>
      </c>
      <c r="C54" s="15" t="s">
        <v>58</v>
      </c>
      <c r="D54" s="15" t="s">
        <v>59</v>
      </c>
      <c r="E54" s="15" t="s">
        <v>80</v>
      </c>
      <c r="F54" s="16" t="s">
        <v>7</v>
      </c>
      <c r="K54" s="21">
        <f>IFERROR(
          INDEX(data_source!$J:$J,MATCH(TEXT(K$27,"yyyy-mm-dd")
                       &amp;$B54&amp;IF($C54=""," Total",
                          $C54&amp;IF($D54=""," Total",
                         $D54&amp;IF($E54=""," Total",
                         $E54&amp;IF($F54=""," Total",
                        $F54)))),
data_source!$A:$A,
0)),"")</f>
        <v>16</v>
      </c>
      <c r="L54" s="21">
        <f>IFERROR(
          INDEX(data_source!$J:$J,MATCH(TEXT(L$27,"yyyy-mm-dd")
                       &amp;$B54&amp;IF($C54=""," Total",
                          $C54&amp;IF($D54=""," Total",
                         $D54&amp;IF($E54=""," Total",
                         $E54&amp;IF($F54=""," Total",
                        $F54)))),
data_source!$A:$A,
0)),"")</f>
        <v>16</v>
      </c>
      <c r="M54" s="22">
        <f t="shared" si="1"/>
        <v>0</v>
      </c>
      <c r="N54" s="38">
        <f t="shared" si="2"/>
        <v>0</v>
      </c>
      <c r="O54" s="1"/>
    </row>
    <row r="55" spans="2:15" x14ac:dyDescent="0.25">
      <c r="B55" s="16" t="s">
        <v>34</v>
      </c>
      <c r="K55" s="21">
        <f>IFERROR(
          INDEX(data_source!$J:$J,MATCH(TEXT(K$27,"yyyy-mm-dd")
                       &amp;$B55&amp;IF($C55=""," Total",
                          $C55&amp;IF($D55=""," Total",
                         $D55&amp;IF($E55=""," Total",
                         $E55&amp;IF($F55=""," Total",
                        $F55)))),
data_source!$A:$A,
0)),"")</f>
        <v>107</v>
      </c>
      <c r="L55" s="21">
        <f>IFERROR(
          INDEX(data_source!$J:$J,MATCH(TEXT(L$27,"yyyy-mm-dd")
                       &amp;$B55&amp;IF($C55=""," Total",
                          $C55&amp;IF($D55=""," Total",
                         $D55&amp;IF($E55=""," Total",
                         $E55&amp;IF($F55=""," Total",
                        $F55)))),
data_source!$A:$A,
0)),"")</f>
        <v>229</v>
      </c>
      <c r="M55" s="22">
        <f t="shared" si="1"/>
        <v>122</v>
      </c>
      <c r="N55" s="38">
        <f t="shared" si="2"/>
        <v>1.1401869158878504</v>
      </c>
      <c r="O55" s="1"/>
    </row>
    <row r="56" spans="2:15" x14ac:dyDescent="0.25">
      <c r="B56" s="15" t="s">
        <v>34</v>
      </c>
      <c r="C56" s="16" t="s">
        <v>28</v>
      </c>
      <c r="K56" s="21">
        <f>IFERROR(
          INDEX(data_source!$J:$J,MATCH(TEXT(K$27,"yyyy-mm-dd")
                       &amp;$B56&amp;IF($C56=""," Total",
                          $C56&amp;IF($D56=""," Total",
                         $D56&amp;IF($E56=""," Total",
                         $E56&amp;IF($F56=""," Total",
                        $F56)))),
data_source!$A:$A,
0)),"")</f>
        <v>107</v>
      </c>
      <c r="L56" s="21">
        <f>IFERROR(
          INDEX(data_source!$J:$J,MATCH(TEXT(L$27,"yyyy-mm-dd")
                       &amp;$B56&amp;IF($C56=""," Total",
                          $C56&amp;IF($D56=""," Total",
                         $D56&amp;IF($E56=""," Total",
                         $E56&amp;IF($F56=""," Total",
                        $F56)))),
data_source!$A:$A,
0)),"")</f>
        <v>229</v>
      </c>
      <c r="M56" s="22">
        <f t="shared" si="1"/>
        <v>122</v>
      </c>
      <c r="N56" s="38">
        <f t="shared" si="2"/>
        <v>1.1401869158878504</v>
      </c>
      <c r="O56" s="1"/>
    </row>
    <row r="57" spans="2:15" x14ac:dyDescent="0.25">
      <c r="B57" s="15" t="s">
        <v>34</v>
      </c>
      <c r="C57" s="15" t="s">
        <v>28</v>
      </c>
      <c r="D57" s="16" t="s">
        <v>27</v>
      </c>
      <c r="K57" s="21">
        <f>IFERROR(
          INDEX(data_source!$J:$J,MATCH(TEXT(K$27,"yyyy-mm-dd")
                       &amp;$B57&amp;IF($C57=""," Total",
                          $C57&amp;IF($D57=""," Total",
                         $D57&amp;IF($E57=""," Total",
                         $E57&amp;IF($F57=""," Total",
                        $F57)))),
data_source!$A:$A,
0)),"")</f>
        <v>14</v>
      </c>
      <c r="L57" s="21" t="str">
        <f>IFERROR(
          INDEX(data_source!$J:$J,MATCH(TEXT(L$27,"yyyy-mm-dd")
                       &amp;$B57&amp;IF($C57=""," Total",
                          $C57&amp;IF($D57=""," Total",
                         $D57&amp;IF($E57=""," Total",
                         $E57&amp;IF($F57=""," Total",
                        $F57)))),
data_source!$A:$A,
0)),"")</f>
        <v/>
      </c>
      <c r="M57" s="22">
        <f t="shared" si="1"/>
        <v>-14</v>
      </c>
      <c r="N57" s="38" t="str">
        <f t="shared" si="2"/>
        <v xml:space="preserve">[quit] </v>
      </c>
      <c r="O57" s="1"/>
    </row>
    <row r="58" spans="2:15" x14ac:dyDescent="0.25">
      <c r="B58" s="15" t="s">
        <v>34</v>
      </c>
      <c r="C58" s="15" t="s">
        <v>28</v>
      </c>
      <c r="D58" s="15" t="s">
        <v>27</v>
      </c>
      <c r="E58" s="16" t="s">
        <v>81</v>
      </c>
      <c r="K58" s="21">
        <f>IFERROR(
          INDEX(data_source!$J:$J,MATCH(TEXT(K$27,"yyyy-mm-dd")
                       &amp;$B58&amp;IF($C58=""," Total",
                          $C58&amp;IF($D58=""," Total",
                         $D58&amp;IF($E58=""," Total",
                         $E58&amp;IF($F58=""," Total",
                        $F58)))),
data_source!$A:$A,
0)),"")</f>
        <v>14</v>
      </c>
      <c r="L58" s="21" t="str">
        <f>IFERROR(
          INDEX(data_source!$J:$J,MATCH(TEXT(L$27,"yyyy-mm-dd")
                       &amp;$B58&amp;IF($C58=""," Total",
                          $C58&amp;IF($D58=""," Total",
                         $D58&amp;IF($E58=""," Total",
                         $E58&amp;IF($F58=""," Total",
                        $F58)))),
data_source!$A:$A,
0)),"")</f>
        <v/>
      </c>
      <c r="M58" s="22">
        <f t="shared" si="1"/>
        <v>-14</v>
      </c>
      <c r="N58" s="38" t="str">
        <f t="shared" si="2"/>
        <v xml:space="preserve">[quit] </v>
      </c>
      <c r="O58" s="1"/>
    </row>
    <row r="59" spans="2:15" x14ac:dyDescent="0.25">
      <c r="B59" s="15" t="s">
        <v>34</v>
      </c>
      <c r="C59" s="15" t="s">
        <v>28</v>
      </c>
      <c r="D59" s="15" t="s">
        <v>27</v>
      </c>
      <c r="E59" s="15" t="s">
        <v>81</v>
      </c>
      <c r="F59" s="16" t="s">
        <v>13</v>
      </c>
      <c r="K59" s="21">
        <f>IFERROR(
          INDEX(data_source!$J:$J,MATCH(TEXT(K$27,"yyyy-mm-dd")
                       &amp;$B59&amp;IF($C59=""," Total",
                          $C59&amp;IF($D59=""," Total",
                         $D59&amp;IF($E59=""," Total",
                         $E59&amp;IF($F59=""," Total",
                        $F59)))),
data_source!$A:$A,
0)),"")</f>
        <v>14</v>
      </c>
      <c r="L59" s="21" t="str">
        <f>IFERROR(
          INDEX(data_source!$J:$J,MATCH(TEXT(L$27,"yyyy-mm-dd")
                       &amp;$B59&amp;IF($C59=""," Total",
                          $C59&amp;IF($D59=""," Total",
                         $D59&amp;IF($E59=""," Total",
                         $E59&amp;IF($F59=""," Total",
                        $F59)))),
data_source!$A:$A,
0)),"")</f>
        <v/>
      </c>
      <c r="M59" s="22">
        <f t="shared" si="1"/>
        <v>-14</v>
      </c>
      <c r="N59" s="38" t="str">
        <f t="shared" si="2"/>
        <v xml:space="preserve">[quit] </v>
      </c>
      <c r="O59" s="1"/>
    </row>
    <row r="60" spans="2:15" x14ac:dyDescent="0.25">
      <c r="B60" s="15" t="s">
        <v>34</v>
      </c>
      <c r="C60" s="15" t="s">
        <v>28</v>
      </c>
      <c r="D60" s="16" t="s">
        <v>24</v>
      </c>
      <c r="K60" s="21">
        <f>IFERROR(
          INDEX(data_source!$J:$J,MATCH(TEXT(K$27,"yyyy-mm-dd")
                       &amp;$B60&amp;IF($C60=""," Total",
                          $C60&amp;IF($D60=""," Total",
                         $D60&amp;IF($E60=""," Total",
                         $E60&amp;IF($F60=""," Total",
                        $F60)))),
data_source!$A:$A,
0)),"")</f>
        <v>37</v>
      </c>
      <c r="L60" s="21">
        <f>IFERROR(
          INDEX(data_source!$J:$J,MATCH(TEXT(L$27,"yyyy-mm-dd")
                       &amp;$B60&amp;IF($C60=""," Total",
                          $C60&amp;IF($D60=""," Total",
                         $D60&amp;IF($E60=""," Total",
                         $E60&amp;IF($F60=""," Total",
                        $F60)))),
data_source!$A:$A,
0)),"")</f>
        <v>44</v>
      </c>
      <c r="M60" s="22">
        <f t="shared" si="1"/>
        <v>7</v>
      </c>
      <c r="N60" s="38">
        <f t="shared" si="2"/>
        <v>0.1891891891891892</v>
      </c>
      <c r="O60" s="1"/>
    </row>
    <row r="61" spans="2:15" x14ac:dyDescent="0.25">
      <c r="B61" s="15" t="s">
        <v>34</v>
      </c>
      <c r="C61" s="15" t="s">
        <v>28</v>
      </c>
      <c r="D61" s="15" t="s">
        <v>24</v>
      </c>
      <c r="E61" s="16" t="s">
        <v>80</v>
      </c>
      <c r="K61" s="21">
        <f>IFERROR(
          INDEX(data_source!$J:$J,MATCH(TEXT(K$27,"yyyy-mm-dd")
                       &amp;$B61&amp;IF($C61=""," Total",
                          $C61&amp;IF($D61=""," Total",
                         $D61&amp;IF($E61=""," Total",
                         $E61&amp;IF($F61=""," Total",
                        $F61)))),
data_source!$A:$A,
0)),"")</f>
        <v>37</v>
      </c>
      <c r="L61" s="21">
        <f>IFERROR(
          INDEX(data_source!$J:$J,MATCH(TEXT(L$27,"yyyy-mm-dd")
                       &amp;$B61&amp;IF($C61=""," Total",
                          $C61&amp;IF($D61=""," Total",
                         $D61&amp;IF($E61=""," Total",
                         $E61&amp;IF($F61=""," Total",
                        $F61)))),
data_source!$A:$A,
0)),"")</f>
        <v>44</v>
      </c>
      <c r="M61" s="22">
        <f t="shared" si="1"/>
        <v>7</v>
      </c>
      <c r="N61" s="38">
        <f t="shared" si="2"/>
        <v>0.1891891891891892</v>
      </c>
      <c r="O61" s="1"/>
    </row>
    <row r="62" spans="2:15" x14ac:dyDescent="0.25">
      <c r="B62" s="15" t="s">
        <v>34</v>
      </c>
      <c r="C62" s="15" t="s">
        <v>28</v>
      </c>
      <c r="D62" s="15" t="s">
        <v>24</v>
      </c>
      <c r="E62" s="15" t="s">
        <v>80</v>
      </c>
      <c r="F62" s="16" t="s">
        <v>10</v>
      </c>
      <c r="K62" s="21" t="str">
        <f>IFERROR(
          INDEX(data_source!$J:$J,MATCH(TEXT(K$27,"yyyy-mm-dd")
                       &amp;$B62&amp;IF($C62=""," Total",
                          $C62&amp;IF($D62=""," Total",
                         $D62&amp;IF($E62=""," Total",
                         $E62&amp;IF($F62=""," Total",
                        $F62)))),
data_source!$A:$A,
0)),"")</f>
        <v/>
      </c>
      <c r="L62" s="21">
        <f>IFERROR(
          INDEX(data_source!$J:$J,MATCH(TEXT(L$27,"yyyy-mm-dd")
                       &amp;$B62&amp;IF($C62=""," Total",
                          $C62&amp;IF($D62=""," Total",
                         $D62&amp;IF($E62=""," Total",
                         $E62&amp;IF($F62=""," Total",
                        $F62)))),
data_source!$A:$A,
0)),"")</f>
        <v>44</v>
      </c>
      <c r="M62" s="22">
        <f t="shared" si="1"/>
        <v>44</v>
      </c>
      <c r="N62" s="38" t="str">
        <f t="shared" si="2"/>
        <v xml:space="preserve">[new] </v>
      </c>
      <c r="O62" s="1"/>
    </row>
    <row r="63" spans="2:15" x14ac:dyDescent="0.25">
      <c r="B63" s="15" t="s">
        <v>34</v>
      </c>
      <c r="C63" s="15" t="s">
        <v>28</v>
      </c>
      <c r="D63" s="15" t="s">
        <v>24</v>
      </c>
      <c r="E63" s="15" t="s">
        <v>80</v>
      </c>
      <c r="F63" s="16" t="s">
        <v>19</v>
      </c>
      <c r="K63" s="21">
        <f>IFERROR(
          INDEX(data_source!$J:$J,MATCH(TEXT(K$27,"yyyy-mm-dd")
                       &amp;$B63&amp;IF($C63=""," Total",
                          $C63&amp;IF($D63=""," Total",
                         $D63&amp;IF($E63=""," Total",
                         $E63&amp;IF($F63=""," Total",
                        $F63)))),
data_source!$A:$A,
0)),"")</f>
        <v>37</v>
      </c>
      <c r="L63" s="21" t="str">
        <f>IFERROR(
          INDEX(data_source!$J:$J,MATCH(TEXT(L$27,"yyyy-mm-dd")
                       &amp;$B63&amp;IF($C63=""," Total",
                          $C63&amp;IF($D63=""," Total",
                         $D63&amp;IF($E63=""," Total",
                         $E63&amp;IF($F63=""," Total",
                        $F63)))),
data_source!$A:$A,
0)),"")</f>
        <v/>
      </c>
      <c r="M63" s="22">
        <f t="shared" si="1"/>
        <v>-37</v>
      </c>
      <c r="N63" s="38" t="str">
        <f t="shared" si="2"/>
        <v xml:space="preserve">[quit] </v>
      </c>
      <c r="O63" s="1"/>
    </row>
    <row r="64" spans="2:15" x14ac:dyDescent="0.25">
      <c r="B64" s="15" t="s">
        <v>34</v>
      </c>
      <c r="C64" s="15" t="s">
        <v>28</v>
      </c>
      <c r="D64" s="16" t="s">
        <v>32</v>
      </c>
      <c r="K64" s="21" t="str">
        <f>IFERROR(
          INDEX(data_source!$J:$J,MATCH(TEXT(K$27,"yyyy-mm-dd")
                       &amp;$B64&amp;IF($C64=""," Total",
                          $C64&amp;IF($D64=""," Total",
                         $D64&amp;IF($E64=""," Total",
                         $E64&amp;IF($F64=""," Total",
                        $F64)))),
data_source!$A:$A,
0)),"")</f>
        <v/>
      </c>
      <c r="L64" s="21">
        <f>IFERROR(
          INDEX(data_source!$J:$J,MATCH(TEXT(L$27,"yyyy-mm-dd")
                       &amp;$B64&amp;IF($C64=""," Total",
                          $C64&amp;IF($D64=""," Total",
                         $D64&amp;IF($E64=""," Total",
                         $E64&amp;IF($F64=""," Total",
                        $F64)))),
data_source!$A:$A,
0)),"")</f>
        <v>44</v>
      </c>
      <c r="M64" s="22">
        <f t="shared" si="1"/>
        <v>44</v>
      </c>
      <c r="N64" s="38" t="str">
        <f t="shared" si="2"/>
        <v xml:space="preserve">[new] </v>
      </c>
      <c r="O64" s="1"/>
    </row>
    <row r="65" spans="2:15" x14ac:dyDescent="0.25">
      <c r="B65" s="15" t="s">
        <v>34</v>
      </c>
      <c r="C65" s="15" t="s">
        <v>28</v>
      </c>
      <c r="D65" s="15" t="s">
        <v>32</v>
      </c>
      <c r="E65" s="16" t="s">
        <v>83</v>
      </c>
      <c r="K65" s="21" t="str">
        <f>IFERROR(
          INDEX(data_source!$J:$J,MATCH(TEXT(K$27,"yyyy-mm-dd")
                       &amp;$B65&amp;IF($C65=""," Total",
                          $C65&amp;IF($D65=""," Total",
                         $D65&amp;IF($E65=""," Total",
                         $E65&amp;IF($F65=""," Total",
                        $F65)))),
data_source!$A:$A,
0)),"")</f>
        <v/>
      </c>
      <c r="L65" s="21">
        <f>IFERROR(
          INDEX(data_source!$J:$J,MATCH(TEXT(L$27,"yyyy-mm-dd")
                       &amp;$B65&amp;IF($C65=""," Total",
                          $C65&amp;IF($D65=""," Total",
                         $D65&amp;IF($E65=""," Total",
                         $E65&amp;IF($F65=""," Total",
                        $F65)))),
data_source!$A:$A,
0)),"")</f>
        <v>44</v>
      </c>
      <c r="M65" s="22">
        <f t="shared" si="1"/>
        <v>44</v>
      </c>
      <c r="N65" s="38" t="str">
        <f t="shared" si="2"/>
        <v xml:space="preserve">[new] </v>
      </c>
      <c r="O65" s="1"/>
    </row>
    <row r="66" spans="2:15" x14ac:dyDescent="0.25">
      <c r="B66" s="15" t="s">
        <v>34</v>
      </c>
      <c r="C66" s="15" t="s">
        <v>28</v>
      </c>
      <c r="D66" s="15" t="s">
        <v>32</v>
      </c>
      <c r="E66" s="15" t="s">
        <v>83</v>
      </c>
      <c r="F66" s="16" t="s">
        <v>18</v>
      </c>
      <c r="K66" s="21" t="str">
        <f>IFERROR(
          INDEX(data_source!$J:$J,MATCH(TEXT(K$27,"yyyy-mm-dd")
                       &amp;$B66&amp;IF($C66=""," Total",
                          $C66&amp;IF($D66=""," Total",
                         $D66&amp;IF($E66=""," Total",
                         $E66&amp;IF($F66=""," Total",
                        $F66)))),
data_source!$A:$A,
0)),"")</f>
        <v/>
      </c>
      <c r="L66" s="21">
        <f>IFERROR(
          INDEX(data_source!$J:$J,MATCH(TEXT(L$27,"yyyy-mm-dd")
                       &amp;$B66&amp;IF($C66=""," Total",
                          $C66&amp;IF($D66=""," Total",
                         $D66&amp;IF($E66=""," Total",
                         $E66&amp;IF($F66=""," Total",
                        $F66)))),
data_source!$A:$A,
0)),"")</f>
        <v>32</v>
      </c>
      <c r="M66" s="22">
        <f t="shared" si="1"/>
        <v>32</v>
      </c>
      <c r="N66" s="38" t="str">
        <f t="shared" si="2"/>
        <v xml:space="preserve">[new] </v>
      </c>
      <c r="O66" s="1"/>
    </row>
    <row r="67" spans="2:15" x14ac:dyDescent="0.25">
      <c r="B67" s="15" t="s">
        <v>34</v>
      </c>
      <c r="C67" s="15" t="s">
        <v>28</v>
      </c>
      <c r="D67" s="15" t="s">
        <v>32</v>
      </c>
      <c r="E67" s="15" t="s">
        <v>83</v>
      </c>
      <c r="F67" s="16" t="s">
        <v>21</v>
      </c>
      <c r="K67" s="21" t="str">
        <f>IFERROR(
          INDEX(data_source!$J:$J,MATCH(TEXT(K$27,"yyyy-mm-dd")
                       &amp;$B67&amp;IF($C67=""," Total",
                          $C67&amp;IF($D67=""," Total",
                         $D67&amp;IF($E67=""," Total",
                         $E67&amp;IF($F67=""," Total",
                        $F67)))),
data_source!$A:$A,
0)),"")</f>
        <v/>
      </c>
      <c r="L67" s="21">
        <f>IFERROR(
          INDEX(data_source!$J:$J,MATCH(TEXT(L$27,"yyyy-mm-dd")
                       &amp;$B67&amp;IF($C67=""," Total",
                          $C67&amp;IF($D67=""," Total",
                         $D67&amp;IF($E67=""," Total",
                         $E67&amp;IF($F67=""," Total",
                        $F67)))),
data_source!$A:$A,
0)),"")</f>
        <v>12</v>
      </c>
      <c r="M67" s="22">
        <f t="shared" si="1"/>
        <v>12</v>
      </c>
      <c r="N67" s="38" t="str">
        <f t="shared" si="2"/>
        <v xml:space="preserve">[new] </v>
      </c>
      <c r="O67" s="1"/>
    </row>
    <row r="68" spans="2:15" x14ac:dyDescent="0.25">
      <c r="B68" s="15" t="s">
        <v>34</v>
      </c>
      <c r="C68" s="15" t="s">
        <v>28</v>
      </c>
      <c r="D68" s="16" t="s">
        <v>29</v>
      </c>
      <c r="K68" s="21">
        <f>IFERROR(
          INDEX(data_source!$J:$J,MATCH(TEXT(K$27,"yyyy-mm-dd")
                       &amp;$B68&amp;IF($C68=""," Total",
                          $C68&amp;IF($D68=""," Total",
                         $D68&amp;IF($E68=""," Total",
                         $E68&amp;IF($F68=""," Total",
                        $F68)))),
data_source!$A:$A,
0)),"")</f>
        <v>56</v>
      </c>
      <c r="L68" s="21">
        <f>IFERROR(
          INDEX(data_source!$J:$J,MATCH(TEXT(L$27,"yyyy-mm-dd")
                       &amp;$B68&amp;IF($C68=""," Total",
                          $C68&amp;IF($D68=""," Total",
                         $D68&amp;IF($E68=""," Total",
                         $E68&amp;IF($F68=""," Total",
                        $F68)))),
data_source!$A:$A,
0)),"")</f>
        <v>141</v>
      </c>
      <c r="M68" s="22">
        <f t="shared" si="1"/>
        <v>85</v>
      </c>
      <c r="N68" s="38">
        <f t="shared" si="2"/>
        <v>1.5178571428571428</v>
      </c>
      <c r="O68" s="1"/>
    </row>
    <row r="69" spans="2:15" x14ac:dyDescent="0.25">
      <c r="B69" s="15" t="s">
        <v>34</v>
      </c>
      <c r="C69" s="15" t="s">
        <v>28</v>
      </c>
      <c r="D69" s="15" t="s">
        <v>29</v>
      </c>
      <c r="E69" s="16" t="s">
        <v>81</v>
      </c>
      <c r="K69" s="21" t="str">
        <f>IFERROR(
          INDEX(data_source!$J:$J,MATCH(TEXT(K$27,"yyyy-mm-dd")
                       &amp;$B69&amp;IF($C69=""," Total",
                          $C69&amp;IF($D69=""," Total",
                         $D69&amp;IF($E69=""," Total",
                         $E69&amp;IF($F69=""," Total",
                        $F69)))),
data_source!$A:$A,
0)),"")</f>
        <v/>
      </c>
      <c r="L69" s="21">
        <f>IFERROR(
          INDEX(data_source!$J:$J,MATCH(TEXT(L$27,"yyyy-mm-dd")
                       &amp;$B69&amp;IF($C69=""," Total",
                          $C69&amp;IF($D69=""," Total",
                         $D69&amp;IF($E69=""," Total",
                         $E69&amp;IF($F69=""," Total",
                        $F69)))),
data_source!$A:$A,
0)),"")</f>
        <v>36</v>
      </c>
      <c r="M69" s="22">
        <f t="shared" si="1"/>
        <v>36</v>
      </c>
      <c r="N69" s="38" t="str">
        <f t="shared" si="2"/>
        <v xml:space="preserve">[new] </v>
      </c>
      <c r="O69" s="1"/>
    </row>
    <row r="70" spans="2:15" x14ac:dyDescent="0.25">
      <c r="B70" s="15" t="s">
        <v>34</v>
      </c>
      <c r="C70" s="15" t="s">
        <v>28</v>
      </c>
      <c r="D70" s="15" t="s">
        <v>29</v>
      </c>
      <c r="E70" s="15" t="s">
        <v>81</v>
      </c>
      <c r="F70" s="16" t="s">
        <v>8</v>
      </c>
      <c r="K70" s="21" t="str">
        <f>IFERROR(
          INDEX(data_source!$J:$J,MATCH(TEXT(K$27,"yyyy-mm-dd")
                       &amp;$B70&amp;IF($C70=""," Total",
                          $C70&amp;IF($D70=""," Total",
                         $D70&amp;IF($E70=""," Total",
                         $E70&amp;IF($F70=""," Total",
                        $F70)))),
data_source!$A:$A,
0)),"")</f>
        <v/>
      </c>
      <c r="L70" s="21">
        <f>IFERROR(
          INDEX(data_source!$J:$J,MATCH(TEXT(L$27,"yyyy-mm-dd")
                       &amp;$B70&amp;IF($C70=""," Total",
                          $C70&amp;IF($D70=""," Total",
                         $D70&amp;IF($E70=""," Total",
                         $E70&amp;IF($F70=""," Total",
                        $F70)))),
data_source!$A:$A,
0)),"")</f>
        <v>36</v>
      </c>
      <c r="M70" s="22">
        <f t="shared" si="1"/>
        <v>36</v>
      </c>
      <c r="N70" s="38" t="str">
        <f t="shared" si="2"/>
        <v xml:space="preserve">[new] </v>
      </c>
      <c r="O70" s="1"/>
    </row>
    <row r="71" spans="2:15" x14ac:dyDescent="0.25">
      <c r="B71" s="15" t="s">
        <v>34</v>
      </c>
      <c r="C71" s="15" t="s">
        <v>28</v>
      </c>
      <c r="D71" s="15" t="s">
        <v>29</v>
      </c>
      <c r="E71" s="16" t="s">
        <v>82</v>
      </c>
      <c r="K71" s="21">
        <f>IFERROR(
          INDEX(data_source!$J:$J,MATCH(TEXT(K$27,"yyyy-mm-dd")
                       &amp;$B71&amp;IF($C71=""," Total",
                          $C71&amp;IF($D71=""," Total",
                         $D71&amp;IF($E71=""," Total",
                         $E71&amp;IF($F71=""," Total",
                        $F71)))),
data_source!$A:$A,
0)),"")</f>
        <v>56</v>
      </c>
      <c r="L71" s="21">
        <f>IFERROR(
          INDEX(data_source!$J:$J,MATCH(TEXT(L$27,"yyyy-mm-dd")
                       &amp;$B71&amp;IF($C71=""," Total",
                          $C71&amp;IF($D71=""," Total",
                         $D71&amp;IF($E71=""," Total",
                         $E71&amp;IF($F71=""," Total",
                        $F71)))),
data_source!$A:$A,
0)),"")</f>
        <v>105</v>
      </c>
      <c r="M71" s="22">
        <f t="shared" si="1"/>
        <v>49</v>
      </c>
      <c r="N71" s="38">
        <f t="shared" si="2"/>
        <v>0.875</v>
      </c>
      <c r="O71" s="1"/>
    </row>
    <row r="72" spans="2:15" x14ac:dyDescent="0.25">
      <c r="B72" s="15" t="s">
        <v>34</v>
      </c>
      <c r="C72" s="15" t="s">
        <v>28</v>
      </c>
      <c r="D72" s="15" t="s">
        <v>29</v>
      </c>
      <c r="E72" s="15" t="s">
        <v>82</v>
      </c>
      <c r="F72" s="16" t="s">
        <v>6</v>
      </c>
      <c r="K72" s="21" t="str">
        <f>IFERROR(
          INDEX(data_source!$J:$J,MATCH(TEXT(K$27,"yyyy-mm-dd")
                       &amp;$B72&amp;IF($C72=""," Total",
                          $C72&amp;IF($D72=""," Total",
                         $D72&amp;IF($E72=""," Total",
                         $E72&amp;IF($F72=""," Total",
                        $F72)))),
data_source!$A:$A,
0)),"")</f>
        <v/>
      </c>
      <c r="L72" s="21">
        <f>IFERROR(
          INDEX(data_source!$J:$J,MATCH(TEXT(L$27,"yyyy-mm-dd")
                       &amp;$B72&amp;IF($C72=""," Total",
                          $C72&amp;IF($D72=""," Total",
                         $D72&amp;IF($E72=""," Total",
                         $E72&amp;IF($F72=""," Total",
                        $F72)))),
data_source!$A:$A,
0)),"")</f>
        <v>44</v>
      </c>
      <c r="M72" s="22">
        <f t="shared" si="1"/>
        <v>44</v>
      </c>
      <c r="N72" s="38" t="str">
        <f t="shared" si="2"/>
        <v xml:space="preserve">[new] </v>
      </c>
      <c r="O72" s="1"/>
    </row>
    <row r="73" spans="2:15" x14ac:dyDescent="0.25">
      <c r="B73" s="15" t="s">
        <v>34</v>
      </c>
      <c r="C73" s="15" t="s">
        <v>28</v>
      </c>
      <c r="D73" s="15" t="s">
        <v>29</v>
      </c>
      <c r="E73" s="15" t="s">
        <v>82</v>
      </c>
      <c r="F73" s="16" t="s">
        <v>18</v>
      </c>
      <c r="K73" s="21">
        <f>IFERROR(
          INDEX(data_source!$J:$J,MATCH(TEXT(K$27,"yyyy-mm-dd")
                       &amp;$B73&amp;IF($C73=""," Total",
                          $C73&amp;IF($D73=""," Total",
                         $D73&amp;IF($E73=""," Total",
                         $E73&amp;IF($F73=""," Total",
                        $F73)))),
data_source!$A:$A,
0)),"")</f>
        <v>6</v>
      </c>
      <c r="L73" s="21" t="str">
        <f>IFERROR(
          INDEX(data_source!$J:$J,MATCH(TEXT(L$27,"yyyy-mm-dd")
                       &amp;$B73&amp;IF($C73=""," Total",
                          $C73&amp;IF($D73=""," Total",
                         $D73&amp;IF($E73=""," Total",
                         $E73&amp;IF($F73=""," Total",
                        $F73)))),
data_source!$A:$A,
0)),"")</f>
        <v/>
      </c>
      <c r="M73" s="22">
        <f t="shared" si="1"/>
        <v>-6</v>
      </c>
      <c r="N73" s="38" t="str">
        <f t="shared" si="2"/>
        <v xml:space="preserve">[quit] </v>
      </c>
      <c r="O73" s="1"/>
    </row>
    <row r="74" spans="2:15" x14ac:dyDescent="0.25">
      <c r="B74" s="15" t="s">
        <v>34</v>
      </c>
      <c r="C74" s="15" t="s">
        <v>28</v>
      </c>
      <c r="D74" s="15" t="s">
        <v>29</v>
      </c>
      <c r="E74" s="15" t="s">
        <v>82</v>
      </c>
      <c r="F74" s="16" t="s">
        <v>21</v>
      </c>
      <c r="K74" s="21" t="str">
        <f>IFERROR(
          INDEX(data_source!$J:$J,MATCH(TEXT(K$27,"yyyy-mm-dd")
                       &amp;$B74&amp;IF($C74=""," Total",
                          $C74&amp;IF($D74=""," Total",
                         $D74&amp;IF($E74=""," Total",
                         $E74&amp;IF($F74=""," Total",
                        $F74)))),
data_source!$A:$A,
0)),"")</f>
        <v/>
      </c>
      <c r="L74" s="21">
        <f>IFERROR(
          INDEX(data_source!$J:$J,MATCH(TEXT(L$27,"yyyy-mm-dd")
                       &amp;$B74&amp;IF($C74=""," Total",
                          $C74&amp;IF($D74=""," Total",
                         $D74&amp;IF($E74=""," Total",
                         $E74&amp;IF($F74=""," Total",
                        $F74)))),
data_source!$A:$A,
0)),"")</f>
        <v>30</v>
      </c>
      <c r="M74" s="22">
        <f t="shared" si="1"/>
        <v>30</v>
      </c>
      <c r="N74" s="38" t="str">
        <f t="shared" si="2"/>
        <v xml:space="preserve">[new] </v>
      </c>
      <c r="O74" s="1"/>
    </row>
    <row r="75" spans="2:15" x14ac:dyDescent="0.25">
      <c r="B75" s="15" t="s">
        <v>34</v>
      </c>
      <c r="C75" s="15" t="s">
        <v>28</v>
      </c>
      <c r="D75" s="15" t="s">
        <v>29</v>
      </c>
      <c r="E75" s="15" t="s">
        <v>82</v>
      </c>
      <c r="F75" s="16" t="s">
        <v>7</v>
      </c>
      <c r="K75" s="21">
        <f>IFERROR(
          INDEX(data_source!$J:$J,MATCH(TEXT(K$27,"yyyy-mm-dd")
                       &amp;$B75&amp;IF($C75=""," Total",
                          $C75&amp;IF($D75=""," Total",
                         $D75&amp;IF($E75=""," Total",
                         $E75&amp;IF($F75=""," Total",
                        $F75)))),
data_source!$A:$A,
0)),"")</f>
        <v>0</v>
      </c>
      <c r="L75" s="21">
        <f>IFERROR(
          INDEX(data_source!$J:$J,MATCH(TEXT(L$27,"yyyy-mm-dd")
                       &amp;$B75&amp;IF($C75=""," Total",
                          $C75&amp;IF($D75=""," Total",
                         $D75&amp;IF($E75=""," Total",
                         $E75&amp;IF($F75=""," Total",
                        $F75)))),
data_source!$A:$A,
0)),"")</f>
        <v>31</v>
      </c>
      <c r="M75" s="22">
        <f t="shared" si="1"/>
        <v>31</v>
      </c>
      <c r="N75" s="38" t="str">
        <f t="shared" si="2"/>
        <v xml:space="preserve">[new] </v>
      </c>
      <c r="O75" s="1"/>
    </row>
    <row r="76" spans="2:15" x14ac:dyDescent="0.25">
      <c r="B76" s="15" t="s">
        <v>34</v>
      </c>
      <c r="C76" s="15" t="s">
        <v>28</v>
      </c>
      <c r="D76" s="15" t="s">
        <v>29</v>
      </c>
      <c r="E76" s="15" t="s">
        <v>82</v>
      </c>
      <c r="F76" s="16" t="s">
        <v>9</v>
      </c>
      <c r="K76" s="21">
        <f>IFERROR(
          INDEX(data_source!$J:$J,MATCH(TEXT(K$27,"yyyy-mm-dd")
                       &amp;$B76&amp;IF($C76=""," Total",
                          $C76&amp;IF($D76=""," Total",
                         $D76&amp;IF($E76=""," Total",
                         $E76&amp;IF($F76=""," Total",
                        $F76)))),
data_source!$A:$A,
0)),"")</f>
        <v>50</v>
      </c>
      <c r="L76" s="21" t="str">
        <f>IFERROR(
          INDEX(data_source!$J:$J,MATCH(TEXT(L$27,"yyyy-mm-dd")
                       &amp;$B76&amp;IF($C76=""," Total",
                          $C76&amp;IF($D76=""," Total",
                         $D76&amp;IF($E76=""," Total",
                         $E76&amp;IF($F76=""," Total",
                        $F76)))),
data_source!$A:$A,
0)),"")</f>
        <v/>
      </c>
      <c r="M76" s="22">
        <f t="shared" si="1"/>
        <v>-50</v>
      </c>
      <c r="N76" s="38" t="str">
        <f t="shared" si="2"/>
        <v xml:space="preserve">[quit] </v>
      </c>
      <c r="O76" s="1"/>
    </row>
    <row r="77" spans="2:15" x14ac:dyDescent="0.25">
      <c r="B77" s="16" t="s">
        <v>33</v>
      </c>
      <c r="K77" s="21">
        <f>IFERROR(
          INDEX(data_source!$J:$J,MATCH(TEXT(K$27,"yyyy-mm-dd")
                       &amp;$B77&amp;IF($C77=""," Total",
                          $C77&amp;IF($D77=""," Total",
                         $D77&amp;IF($E77=""," Total",
                         $E77&amp;IF($F77=""," Total",
                        $F77)))),
data_source!$A:$A,
0)),"")</f>
        <v>234</v>
      </c>
      <c r="L77" s="21">
        <f>IFERROR(
          INDEX(data_source!$J:$J,MATCH(TEXT(L$27,"yyyy-mm-dd")
                       &amp;$B77&amp;IF($C77=""," Total",
                          $C77&amp;IF($D77=""," Total",
                         $D77&amp;IF($E77=""," Total",
                         $E77&amp;IF($F77=""," Total",
                        $F77)))),
data_source!$A:$A,
0)),"")</f>
        <v>436</v>
      </c>
      <c r="M77" s="22">
        <f t="shared" si="1"/>
        <v>202</v>
      </c>
      <c r="N77" s="38">
        <f t="shared" si="2"/>
        <v>0.86324786324786329</v>
      </c>
      <c r="O77" s="1"/>
    </row>
    <row r="78" spans="2:15" x14ac:dyDescent="0.25">
      <c r="B78" s="15" t="s">
        <v>33</v>
      </c>
      <c r="C78" s="16" t="s">
        <v>23</v>
      </c>
      <c r="K78" s="21">
        <f>IFERROR(
          INDEX(data_source!$J:$J,MATCH(TEXT(K$27,"yyyy-mm-dd")
                       &amp;$B78&amp;IF($C78=""," Total",
                          $C78&amp;IF($D78=""," Total",
                         $D78&amp;IF($E78=""," Total",
                         $E78&amp;IF($F78=""," Total",
                        $F78)))),
data_source!$A:$A,
0)),"")</f>
        <v>124</v>
      </c>
      <c r="L78" s="21">
        <f>IFERROR(
          INDEX(data_source!$J:$J,MATCH(TEXT(L$27,"yyyy-mm-dd")
                       &amp;$B78&amp;IF($C78=""," Total",
                          $C78&amp;IF($D78=""," Total",
                         $D78&amp;IF($E78=""," Total",
                         $E78&amp;IF($F78=""," Total",
                        $F78)))),
data_source!$A:$A,
0)),"")</f>
        <v>221</v>
      </c>
      <c r="M78" s="22">
        <f t="shared" si="1"/>
        <v>97</v>
      </c>
      <c r="N78" s="38">
        <f t="shared" si="2"/>
        <v>0.782258064516129</v>
      </c>
      <c r="O78" s="1"/>
    </row>
    <row r="79" spans="2:15" x14ac:dyDescent="0.25">
      <c r="B79" s="15" t="s">
        <v>33</v>
      </c>
      <c r="C79" s="15" t="s">
        <v>23</v>
      </c>
      <c r="D79" s="16" t="s">
        <v>26</v>
      </c>
      <c r="K79" s="21" t="str">
        <f>IFERROR(
          INDEX(data_source!$J:$J,MATCH(TEXT(K$27,"yyyy-mm-dd")
                       &amp;$B79&amp;IF($C79=""," Total",
                          $C79&amp;IF($D79=""," Total",
                         $D79&amp;IF($E79=""," Total",
                         $E79&amp;IF($F79=""," Total",
                        $F79)))),
data_source!$A:$A,
0)),"")</f>
        <v/>
      </c>
      <c r="L79" s="21">
        <f>IFERROR(
          INDEX(data_source!$J:$J,MATCH(TEXT(L$27,"yyyy-mm-dd")
                       &amp;$B79&amp;IF($C79=""," Total",
                          $C79&amp;IF($D79=""," Total",
                         $D79&amp;IF($E79=""," Total",
                         $E79&amp;IF($F79=""," Total",
                        $F79)))),
data_source!$A:$A,
0)),"")</f>
        <v>29</v>
      </c>
      <c r="M79" s="22">
        <f t="shared" si="1"/>
        <v>29</v>
      </c>
      <c r="N79" s="38" t="str">
        <f t="shared" si="2"/>
        <v xml:space="preserve">[new] </v>
      </c>
      <c r="O79" s="1"/>
    </row>
    <row r="80" spans="2:15" x14ac:dyDescent="0.25">
      <c r="B80" s="15" t="s">
        <v>33</v>
      </c>
      <c r="C80" s="15" t="s">
        <v>23</v>
      </c>
      <c r="D80" s="15" t="s">
        <v>26</v>
      </c>
      <c r="E80" s="16" t="s">
        <v>83</v>
      </c>
      <c r="K80" s="21" t="str">
        <f>IFERROR(
          INDEX(data_source!$J:$J,MATCH(TEXT(K$27,"yyyy-mm-dd")
                       &amp;$B80&amp;IF($C80=""," Total",
                          $C80&amp;IF($D80=""," Total",
                         $D80&amp;IF($E80=""," Total",
                         $E80&amp;IF($F80=""," Total",
                        $F80)))),
data_source!$A:$A,
0)),"")</f>
        <v/>
      </c>
      <c r="L80" s="21">
        <f>IFERROR(
          INDEX(data_source!$J:$J,MATCH(TEXT(L$27,"yyyy-mm-dd")
                       &amp;$B80&amp;IF($C80=""," Total",
                          $C80&amp;IF($D80=""," Total",
                         $D80&amp;IF($E80=""," Total",
                         $E80&amp;IF($F80=""," Total",
                        $F80)))),
data_source!$A:$A,
0)),"")</f>
        <v>29</v>
      </c>
      <c r="M80" s="22">
        <f t="shared" si="1"/>
        <v>29</v>
      </c>
      <c r="N80" s="38" t="str">
        <f t="shared" si="2"/>
        <v xml:space="preserve">[new] </v>
      </c>
      <c r="O80" s="1"/>
    </row>
    <row r="81" spans="2:15" x14ac:dyDescent="0.25">
      <c r="B81" s="15" t="s">
        <v>33</v>
      </c>
      <c r="C81" s="15" t="s">
        <v>23</v>
      </c>
      <c r="D81" s="15" t="s">
        <v>26</v>
      </c>
      <c r="E81" s="15" t="s">
        <v>83</v>
      </c>
      <c r="F81" s="16" t="s">
        <v>20</v>
      </c>
      <c r="K81" s="21" t="str">
        <f>IFERROR(
          INDEX(data_source!$J:$J,MATCH(TEXT(K$27,"yyyy-mm-dd")
                       &amp;$B81&amp;IF($C81=""," Total",
                          $C81&amp;IF($D81=""," Total",
                         $D81&amp;IF($E81=""," Total",
                         $E81&amp;IF($F81=""," Total",
                        $F81)))),
data_source!$A:$A,
0)),"")</f>
        <v/>
      </c>
      <c r="L81" s="21">
        <f>IFERROR(
          INDEX(data_source!$J:$J,MATCH(TEXT(L$27,"yyyy-mm-dd")
                       &amp;$B81&amp;IF($C81=""," Total",
                          $C81&amp;IF($D81=""," Total",
                         $D81&amp;IF($E81=""," Total",
                         $E81&amp;IF($F81=""," Total",
                        $F81)))),
data_source!$A:$A,
0)),"")</f>
        <v>29</v>
      </c>
      <c r="M81" s="22">
        <f t="shared" si="1"/>
        <v>29</v>
      </c>
      <c r="N81" s="38" t="str">
        <f t="shared" si="2"/>
        <v xml:space="preserve">[new] </v>
      </c>
      <c r="O81" s="1"/>
    </row>
    <row r="82" spans="2:15" x14ac:dyDescent="0.25">
      <c r="B82" s="15" t="s">
        <v>33</v>
      </c>
      <c r="C82" s="15" t="s">
        <v>23</v>
      </c>
      <c r="D82" s="16" t="s">
        <v>27</v>
      </c>
      <c r="K82" s="21" t="str">
        <f>IFERROR(
          INDEX(data_source!$J:$J,MATCH(TEXT(K$27,"yyyy-mm-dd")
                       &amp;$B82&amp;IF($C82=""," Total",
                          $C82&amp;IF($D82=""," Total",
                         $D82&amp;IF($E82=""," Total",
                         $E82&amp;IF($F82=""," Total",
                        $F82)))),
data_source!$A:$A,
0)),"")</f>
        <v/>
      </c>
      <c r="L82" s="21">
        <f>IFERROR(
          INDEX(data_source!$J:$J,MATCH(TEXT(L$27,"yyyy-mm-dd")
                       &amp;$B82&amp;IF($C82=""," Total",
                          $C82&amp;IF($D82=""," Total",
                         $D82&amp;IF($E82=""," Total",
                         $E82&amp;IF($F82=""," Total",
                        $F82)))),
data_source!$A:$A,
0)),"")</f>
        <v>25</v>
      </c>
      <c r="M82" s="22">
        <f t="shared" si="1"/>
        <v>25</v>
      </c>
      <c r="N82" s="38" t="str">
        <f t="shared" si="2"/>
        <v xml:space="preserve">[new] </v>
      </c>
      <c r="O82" s="1"/>
    </row>
    <row r="83" spans="2:15" x14ac:dyDescent="0.25">
      <c r="B83" s="15" t="s">
        <v>33</v>
      </c>
      <c r="C83" s="15" t="s">
        <v>23</v>
      </c>
      <c r="D83" s="15" t="s">
        <v>27</v>
      </c>
      <c r="E83" s="16" t="s">
        <v>84</v>
      </c>
      <c r="K83" s="21" t="str">
        <f>IFERROR(
          INDEX(data_source!$J:$J,MATCH(TEXT(K$27,"yyyy-mm-dd")
                       &amp;$B83&amp;IF($C83=""," Total",
                          $C83&amp;IF($D83=""," Total",
                         $D83&amp;IF($E83=""," Total",
                         $E83&amp;IF($F83=""," Total",
                        $F83)))),
data_source!$A:$A,
0)),"")</f>
        <v/>
      </c>
      <c r="L83" s="21">
        <f>IFERROR(
          INDEX(data_source!$J:$J,MATCH(TEXT(L$27,"yyyy-mm-dd")
                       &amp;$B83&amp;IF($C83=""," Total",
                          $C83&amp;IF($D83=""," Total",
                         $D83&amp;IF($E83=""," Total",
                         $E83&amp;IF($F83=""," Total",
                        $F83)))),
data_source!$A:$A,
0)),"")</f>
        <v>25</v>
      </c>
      <c r="M83" s="22">
        <f t="shared" si="1"/>
        <v>25</v>
      </c>
      <c r="N83" s="38" t="str">
        <f t="shared" si="2"/>
        <v xml:space="preserve">[new] </v>
      </c>
      <c r="O83" s="1"/>
    </row>
    <row r="84" spans="2:15" x14ac:dyDescent="0.25">
      <c r="B84" s="15" t="s">
        <v>33</v>
      </c>
      <c r="C84" s="15" t="s">
        <v>23</v>
      </c>
      <c r="D84" s="15" t="s">
        <v>27</v>
      </c>
      <c r="E84" s="15" t="s">
        <v>84</v>
      </c>
      <c r="F84" s="16" t="s">
        <v>14</v>
      </c>
      <c r="K84" s="21" t="str">
        <f>IFERROR(
          INDEX(data_source!$J:$J,MATCH(TEXT(K$27,"yyyy-mm-dd")
                       &amp;$B84&amp;IF($C84=""," Total",
                          $C84&amp;IF($D84=""," Total",
                         $D84&amp;IF($E84=""," Total",
                         $E84&amp;IF($F84=""," Total",
                        $F84)))),
data_source!$A:$A,
0)),"")</f>
        <v/>
      </c>
      <c r="L84" s="21">
        <f>IFERROR(
          INDEX(data_source!$J:$J,MATCH(TEXT(L$27,"yyyy-mm-dd")
                       &amp;$B84&amp;IF($C84=""," Total",
                          $C84&amp;IF($D84=""," Total",
                         $D84&amp;IF($E84=""," Total",
                         $E84&amp;IF($F84=""," Total",
                        $F84)))),
data_source!$A:$A,
0)),"")</f>
        <v>25</v>
      </c>
      <c r="M84" s="22">
        <f t="shared" si="1"/>
        <v>25</v>
      </c>
      <c r="N84" s="38" t="str">
        <f t="shared" si="2"/>
        <v xml:space="preserve">[new] </v>
      </c>
      <c r="O84" s="1"/>
    </row>
    <row r="85" spans="2:15" x14ac:dyDescent="0.25">
      <c r="B85" s="15" t="s">
        <v>33</v>
      </c>
      <c r="C85" s="15" t="s">
        <v>23</v>
      </c>
      <c r="D85" s="16" t="s">
        <v>24</v>
      </c>
      <c r="K85" s="21">
        <f>IFERROR(
          INDEX(data_source!$J:$J,MATCH(TEXT(K$27,"yyyy-mm-dd")
                       &amp;$B85&amp;IF($C85=""," Total",
                          $C85&amp;IF($D85=""," Total",
                         $D85&amp;IF($E85=""," Total",
                         $E85&amp;IF($F85=""," Total",
                        $F85)))),
data_source!$A:$A,
0)),"")</f>
        <v>124</v>
      </c>
      <c r="L85" s="21">
        <f>IFERROR(
          INDEX(data_source!$J:$J,MATCH(TEXT(L$27,"yyyy-mm-dd")
                       &amp;$B85&amp;IF($C85=""," Total",
                          $C85&amp;IF($D85=""," Total",
                         $D85&amp;IF($E85=""," Total",
                         $E85&amp;IF($F85=""," Total",
                        $F85)))),
data_source!$A:$A,
0)),"")</f>
        <v>113</v>
      </c>
      <c r="M85" s="22">
        <f t="shared" si="1"/>
        <v>-11</v>
      </c>
      <c r="N85" s="38">
        <f t="shared" si="2"/>
        <v>-8.8709677419354843E-2</v>
      </c>
      <c r="O85" s="1"/>
    </row>
    <row r="86" spans="2:15" x14ac:dyDescent="0.25">
      <c r="B86" s="15" t="s">
        <v>33</v>
      </c>
      <c r="C86" s="15" t="s">
        <v>23</v>
      </c>
      <c r="D86" s="15" t="s">
        <v>24</v>
      </c>
      <c r="E86" s="16" t="s">
        <v>80</v>
      </c>
      <c r="K86" s="21">
        <f>IFERROR(
          INDEX(data_source!$J:$J,MATCH(TEXT(K$27,"yyyy-mm-dd")
                       &amp;$B86&amp;IF($C86=""," Total",
                          $C86&amp;IF($D86=""," Total",
                         $D86&amp;IF($E86=""," Total",
                         $E86&amp;IF($F86=""," Total",
                        $F86)))),
data_source!$A:$A,
0)),"")</f>
        <v>95</v>
      </c>
      <c r="L86" s="21">
        <f>IFERROR(
          INDEX(data_source!$J:$J,MATCH(TEXT(L$27,"yyyy-mm-dd")
                       &amp;$B86&amp;IF($C86=""," Total",
                          $C86&amp;IF($D86=""," Total",
                         $D86&amp;IF($E86=""," Total",
                         $E86&amp;IF($F86=""," Total",
                        $F86)))),
data_source!$A:$A,
0)),"")</f>
        <v>113</v>
      </c>
      <c r="M86" s="22">
        <f t="shared" si="1"/>
        <v>18</v>
      </c>
      <c r="N86" s="38">
        <f t="shared" si="2"/>
        <v>0.18947368421052632</v>
      </c>
      <c r="O86" s="1"/>
    </row>
    <row r="87" spans="2:15" x14ac:dyDescent="0.25">
      <c r="B87" s="15" t="s">
        <v>33</v>
      </c>
      <c r="C87" s="15" t="s">
        <v>23</v>
      </c>
      <c r="D87" s="15" t="s">
        <v>24</v>
      </c>
      <c r="E87" s="15" t="s">
        <v>80</v>
      </c>
      <c r="F87" s="16" t="s">
        <v>6</v>
      </c>
      <c r="K87" s="21">
        <f>IFERROR(
          INDEX(data_source!$J:$J,MATCH(TEXT(K$27,"yyyy-mm-dd")
                       &amp;$B87&amp;IF($C87=""," Total",
                          $C87&amp;IF($D87=""," Total",
                         $D87&amp;IF($E87=""," Total",
                         $E87&amp;IF($F87=""," Total",
                        $F87)))),
data_source!$A:$A,
0)),"")</f>
        <v>35</v>
      </c>
      <c r="L87" s="21">
        <f>IFERROR(
          INDEX(data_source!$J:$J,MATCH(TEXT(L$27,"yyyy-mm-dd")
                       &amp;$B87&amp;IF($C87=""," Total",
                          $C87&amp;IF($D87=""," Total",
                         $D87&amp;IF($E87=""," Total",
                         $E87&amp;IF($F87=""," Total",
                        $F87)))),
data_source!$A:$A,
0)),"")</f>
        <v>19</v>
      </c>
      <c r="M87" s="22">
        <f t="shared" si="1"/>
        <v>-16</v>
      </c>
      <c r="N87" s="38">
        <f t="shared" si="2"/>
        <v>-0.45714285714285713</v>
      </c>
      <c r="O87" s="1"/>
    </row>
    <row r="88" spans="2:15" x14ac:dyDescent="0.25">
      <c r="B88" s="15" t="s">
        <v>33</v>
      </c>
      <c r="C88" s="15" t="s">
        <v>23</v>
      </c>
      <c r="D88" s="15" t="s">
        <v>24</v>
      </c>
      <c r="E88" s="15" t="s">
        <v>80</v>
      </c>
      <c r="F88" s="16" t="s">
        <v>16</v>
      </c>
      <c r="K88" s="21">
        <f>IFERROR(
          INDEX(data_source!$J:$J,MATCH(TEXT(K$27,"yyyy-mm-dd")
                       &amp;$B88&amp;IF($C88=""," Total",
                          $C88&amp;IF($D88=""," Total",
                         $D88&amp;IF($E88=""," Total",
                         $E88&amp;IF($F88=""," Total",
                        $F88)))),
data_source!$A:$A,
0)),"")</f>
        <v>26</v>
      </c>
      <c r="L88" s="21" t="str">
        <f>IFERROR(
          INDEX(data_source!$J:$J,MATCH(TEXT(L$27,"yyyy-mm-dd")
                       &amp;$B88&amp;IF($C88=""," Total",
                          $C88&amp;IF($D88=""," Total",
                         $D88&amp;IF($E88=""," Total",
                         $E88&amp;IF($F88=""," Total",
                        $F88)))),
data_source!$A:$A,
0)),"")</f>
        <v/>
      </c>
      <c r="M88" s="22">
        <f t="shared" si="1"/>
        <v>-26</v>
      </c>
      <c r="N88" s="38" t="str">
        <f t="shared" si="2"/>
        <v xml:space="preserve">[quit] </v>
      </c>
      <c r="O88" s="1"/>
    </row>
    <row r="89" spans="2:15" x14ac:dyDescent="0.25">
      <c r="B89" s="15" t="s">
        <v>33</v>
      </c>
      <c r="C89" s="15" t="s">
        <v>23</v>
      </c>
      <c r="D89" s="15" t="s">
        <v>24</v>
      </c>
      <c r="E89" s="15" t="s">
        <v>80</v>
      </c>
      <c r="F89" s="16" t="s">
        <v>15</v>
      </c>
      <c r="K89" s="21" t="str">
        <f>IFERROR(
          INDEX(data_source!$J:$J,MATCH(TEXT(K$27,"yyyy-mm-dd")
                       &amp;$B89&amp;IF($C89=""," Total",
                          $C89&amp;IF($D89=""," Total",
                         $D89&amp;IF($E89=""," Total",
                         $E89&amp;IF($F89=""," Total",
                        $F89)))),
data_source!$A:$A,
0)),"")</f>
        <v/>
      </c>
      <c r="L89" s="21">
        <f>IFERROR(
          INDEX(data_source!$J:$J,MATCH(TEXT(L$27,"yyyy-mm-dd")
                       &amp;$B89&amp;IF($C89=""," Total",
                          $C89&amp;IF($D89=""," Total",
                         $D89&amp;IF($E89=""," Total",
                         $E89&amp;IF($F89=""," Total",
                        $F89)))),
data_source!$A:$A,
0)),"")</f>
        <v>50</v>
      </c>
      <c r="M89" s="22">
        <f t="shared" si="1"/>
        <v>50</v>
      </c>
      <c r="N89" s="38" t="str">
        <f t="shared" si="2"/>
        <v xml:space="preserve">[new] </v>
      </c>
      <c r="O89" s="1"/>
    </row>
    <row r="90" spans="2:15" x14ac:dyDescent="0.25">
      <c r="B90" s="15" t="s">
        <v>33</v>
      </c>
      <c r="C90" s="15" t="s">
        <v>23</v>
      </c>
      <c r="D90" s="15" t="s">
        <v>24</v>
      </c>
      <c r="E90" s="15" t="s">
        <v>80</v>
      </c>
      <c r="F90" s="16" t="s">
        <v>14</v>
      </c>
      <c r="K90" s="21" t="str">
        <f>IFERROR(
          INDEX(data_source!$J:$J,MATCH(TEXT(K$27,"yyyy-mm-dd")
                       &amp;$B90&amp;IF($C90=""," Total",
                          $C90&amp;IF($D90=""," Total",
                         $D90&amp;IF($E90=""," Total",
                         $E90&amp;IF($F90=""," Total",
                        $F90)))),
data_source!$A:$A,
0)),"")</f>
        <v/>
      </c>
      <c r="L90" s="21">
        <f>IFERROR(
          INDEX(data_source!$J:$J,MATCH(TEXT(L$27,"yyyy-mm-dd")
                       &amp;$B90&amp;IF($C90=""," Total",
                          $C90&amp;IF($D90=""," Total",
                         $D90&amp;IF($E90=""," Total",
                         $E90&amp;IF($F90=""," Total",
                        $F90)))),
data_source!$A:$A,
0)),"")</f>
        <v>1</v>
      </c>
      <c r="M90" s="22">
        <f t="shared" si="1"/>
        <v>1</v>
      </c>
      <c r="N90" s="38" t="str">
        <f t="shared" si="2"/>
        <v xml:space="preserve">[new] </v>
      </c>
      <c r="O90" s="1"/>
    </row>
    <row r="91" spans="2:15" x14ac:dyDescent="0.25">
      <c r="B91" s="15" t="s">
        <v>33</v>
      </c>
      <c r="C91" s="15" t="s">
        <v>23</v>
      </c>
      <c r="D91" s="15" t="s">
        <v>24</v>
      </c>
      <c r="E91" s="15" t="s">
        <v>80</v>
      </c>
      <c r="F91" s="16" t="s">
        <v>13</v>
      </c>
      <c r="K91" s="21">
        <f>IFERROR(
          INDEX(data_source!$J:$J,MATCH(TEXT(K$27,"yyyy-mm-dd")
                       &amp;$B91&amp;IF($C91=""," Total",
                          $C91&amp;IF($D91=""," Total",
                         $D91&amp;IF($E91=""," Total",
                         $E91&amp;IF($F91=""," Total",
                        $F91)))),
data_source!$A:$A,
0)),"")</f>
        <v>11</v>
      </c>
      <c r="L91" s="21" t="str">
        <f>IFERROR(
          INDEX(data_source!$J:$J,MATCH(TEXT(L$27,"yyyy-mm-dd")
                       &amp;$B91&amp;IF($C91=""," Total",
                          $C91&amp;IF($D91=""," Total",
                         $D91&amp;IF($E91=""," Total",
                         $E91&amp;IF($F91=""," Total",
                        $F91)))),
data_source!$A:$A,
0)),"")</f>
        <v/>
      </c>
      <c r="M91" s="22">
        <f t="shared" si="1"/>
        <v>-11</v>
      </c>
      <c r="N91" s="38" t="str">
        <f t="shared" si="2"/>
        <v xml:space="preserve">[quit] </v>
      </c>
      <c r="O91" s="1"/>
    </row>
    <row r="92" spans="2:15" x14ac:dyDescent="0.25">
      <c r="B92" s="15" t="s">
        <v>33</v>
      </c>
      <c r="C92" s="15" t="s">
        <v>23</v>
      </c>
      <c r="D92" s="15" t="s">
        <v>24</v>
      </c>
      <c r="E92" s="15" t="s">
        <v>80</v>
      </c>
      <c r="F92" s="16" t="s">
        <v>9</v>
      </c>
      <c r="K92" s="21">
        <f>IFERROR(
          INDEX(data_source!$J:$J,MATCH(TEXT(K$27,"yyyy-mm-dd")
                       &amp;$B92&amp;IF($C92=""," Total",
                          $C92&amp;IF($D92=""," Total",
                         $D92&amp;IF($E92=""," Total",
                         $E92&amp;IF($F92=""," Total",
                        $F92)))),
data_source!$A:$A,
0)),"")</f>
        <v>23</v>
      </c>
      <c r="L92" s="21" t="str">
        <f>IFERROR(
          INDEX(data_source!$J:$J,MATCH(TEXT(L$27,"yyyy-mm-dd")
                       &amp;$B92&amp;IF($C92=""," Total",
                          $C92&amp;IF($D92=""," Total",
                         $D92&amp;IF($E92=""," Total",
                         $E92&amp;IF($F92=""," Total",
                        $F92)))),
data_source!$A:$A,
0)),"")</f>
        <v/>
      </c>
      <c r="M92" s="22">
        <f t="shared" si="1"/>
        <v>-23</v>
      </c>
      <c r="N92" s="38" t="str">
        <f t="shared" si="2"/>
        <v xml:space="preserve">[quit] </v>
      </c>
      <c r="O92" s="1"/>
    </row>
    <row r="93" spans="2:15" x14ac:dyDescent="0.25">
      <c r="B93" s="15" t="s">
        <v>33</v>
      </c>
      <c r="C93" s="15" t="s">
        <v>23</v>
      </c>
      <c r="D93" s="15" t="s">
        <v>24</v>
      </c>
      <c r="E93" s="16" t="s">
        <v>81</v>
      </c>
      <c r="K93" s="21">
        <f>IFERROR(
          INDEX(data_source!$J:$J,MATCH(TEXT(K$27,"yyyy-mm-dd")
                       &amp;$B93&amp;IF($C93=""," Total",
                          $C93&amp;IF($D93=""," Total",
                         $D93&amp;IF($E93=""," Total",
                         $E93&amp;IF($F93=""," Total",
                        $F93)))),
data_source!$A:$A,
0)),"")</f>
        <v>29</v>
      </c>
      <c r="L93" s="21" t="str">
        <f>IFERROR(
          INDEX(data_source!$J:$J,MATCH(TEXT(L$27,"yyyy-mm-dd")
                       &amp;$B93&amp;IF($C93=""," Total",
                          $C93&amp;IF($D93=""," Total",
                         $D93&amp;IF($E93=""," Total",
                         $E93&amp;IF($F93=""," Total",
                        $F93)))),
data_source!$A:$A,
0)),"")</f>
        <v/>
      </c>
      <c r="M93" s="22">
        <f t="shared" ref="M93:M114" si="3">_xlfn.NUMBERVALUE(L93)-_xlfn.NUMBERVALUE(K93)</f>
        <v>-29</v>
      </c>
      <c r="N93" s="38" t="str">
        <f t="shared" ref="N93:N114" si="4">IF(L93="","[quit] ",IFERROR(_xlfn.NUMBERVALUE(M93)/_xlfn.NUMBERVALUE(K93),"[new] "))</f>
        <v xml:space="preserve">[quit] </v>
      </c>
      <c r="O93" s="1"/>
    </row>
    <row r="94" spans="2:15" x14ac:dyDescent="0.25">
      <c r="B94" s="15" t="s">
        <v>33</v>
      </c>
      <c r="C94" s="15" t="s">
        <v>23</v>
      </c>
      <c r="D94" s="15" t="s">
        <v>24</v>
      </c>
      <c r="E94" s="15" t="s">
        <v>81</v>
      </c>
      <c r="F94" s="16" t="s">
        <v>16</v>
      </c>
      <c r="K94" s="21">
        <f>IFERROR(
          INDEX(data_source!$J:$J,MATCH(TEXT(K$27,"yyyy-mm-dd")
                       &amp;$B94&amp;IF($C94=""," Total",
                          $C94&amp;IF($D94=""," Total",
                         $D94&amp;IF($E94=""," Total",
                         $E94&amp;IF($F94=""," Total",
                        $F94)))),
data_source!$A:$A,
0)),"")</f>
        <v>18</v>
      </c>
      <c r="L94" s="21" t="str">
        <f>IFERROR(
          INDEX(data_source!$J:$J,MATCH(TEXT(L$27,"yyyy-mm-dd")
                       &amp;$B94&amp;IF($C94=""," Total",
                          $C94&amp;IF($D94=""," Total",
                         $D94&amp;IF($E94=""," Total",
                         $E94&amp;IF($F94=""," Total",
                        $F94)))),
data_source!$A:$A,
0)),"")</f>
        <v/>
      </c>
      <c r="M94" s="22">
        <f t="shared" si="3"/>
        <v>-18</v>
      </c>
      <c r="N94" s="38" t="str">
        <f t="shared" si="4"/>
        <v xml:space="preserve">[quit] </v>
      </c>
      <c r="O94" s="1"/>
    </row>
    <row r="95" spans="2:15" x14ac:dyDescent="0.25">
      <c r="B95" s="15" t="s">
        <v>33</v>
      </c>
      <c r="C95" s="15" t="s">
        <v>23</v>
      </c>
      <c r="D95" s="15" t="s">
        <v>24</v>
      </c>
      <c r="E95" s="15" t="s">
        <v>81</v>
      </c>
      <c r="F95" s="16" t="s">
        <v>14</v>
      </c>
      <c r="K95" s="21">
        <f>IFERROR(
          INDEX(data_source!$J:$J,MATCH(TEXT(K$27,"yyyy-mm-dd")
                       &amp;$B95&amp;IF($C95=""," Total",
                          $C95&amp;IF($D95=""," Total",
                         $D95&amp;IF($E95=""," Total",
                         $E95&amp;IF($F95=""," Total",
                        $F95)))),
data_source!$A:$A,
0)),"")</f>
        <v>11</v>
      </c>
      <c r="L95" s="21" t="str">
        <f>IFERROR(
          INDEX(data_source!$J:$J,MATCH(TEXT(L$27,"yyyy-mm-dd")
                       &amp;$B95&amp;IF($C95=""," Total",
                          $C95&amp;IF($D95=""," Total",
                         $D95&amp;IF($E95=""," Total",
                         $E95&amp;IF($F95=""," Total",
                        $F95)))),
data_source!$A:$A,
0)),"")</f>
        <v/>
      </c>
      <c r="M95" s="22">
        <f t="shared" si="3"/>
        <v>-11</v>
      </c>
      <c r="N95" s="38" t="str">
        <f t="shared" si="4"/>
        <v xml:space="preserve">[quit] </v>
      </c>
      <c r="O95" s="1"/>
    </row>
    <row r="96" spans="2:15" x14ac:dyDescent="0.25">
      <c r="B96" s="15" t="s">
        <v>33</v>
      </c>
      <c r="C96" s="15" t="s">
        <v>23</v>
      </c>
      <c r="D96" s="16" t="s">
        <v>25</v>
      </c>
      <c r="K96" s="21" t="str">
        <f>IFERROR(
          INDEX(data_source!$J:$J,MATCH(TEXT(K$27,"yyyy-mm-dd")
                       &amp;$B96&amp;IF($C96=""," Total",
                          $C96&amp;IF($D96=""," Total",
                         $D96&amp;IF($E96=""," Total",
                         $E96&amp;IF($F96=""," Total",
                        $F96)))),
data_source!$A:$A,
0)),"")</f>
        <v/>
      </c>
      <c r="L96" s="21">
        <f>IFERROR(
          INDEX(data_source!$J:$J,MATCH(TEXT(L$27,"yyyy-mm-dd")
                       &amp;$B96&amp;IF($C96=""," Total",
                          $C96&amp;IF($D96=""," Total",
                         $D96&amp;IF($E96=""," Total",
                         $E96&amp;IF($F96=""," Total",
                        $F96)))),
data_source!$A:$A,
0)),"")</f>
        <v>54</v>
      </c>
      <c r="M96" s="22">
        <f t="shared" si="3"/>
        <v>54</v>
      </c>
      <c r="N96" s="38" t="str">
        <f t="shared" si="4"/>
        <v xml:space="preserve">[new] </v>
      </c>
      <c r="O96" s="1"/>
    </row>
    <row r="97" spans="2:15" x14ac:dyDescent="0.25">
      <c r="B97" s="15" t="s">
        <v>33</v>
      </c>
      <c r="C97" s="15" t="s">
        <v>23</v>
      </c>
      <c r="D97" s="15" t="s">
        <v>25</v>
      </c>
      <c r="E97" s="16" t="s">
        <v>81</v>
      </c>
      <c r="K97" s="21" t="str">
        <f>IFERROR(
          INDEX(data_source!$J:$J,MATCH(TEXT(K$27,"yyyy-mm-dd")
                       &amp;$B97&amp;IF($C97=""," Total",
                          $C97&amp;IF($D97=""," Total",
                         $D97&amp;IF($E97=""," Total",
                         $E97&amp;IF($F97=""," Total",
                        $F97)))),
data_source!$A:$A,
0)),"")</f>
        <v/>
      </c>
      <c r="L97" s="21">
        <f>IFERROR(
          INDEX(data_source!$J:$J,MATCH(TEXT(L$27,"yyyy-mm-dd")
                       &amp;$B97&amp;IF($C97=""," Total",
                          $C97&amp;IF($D97=""," Total",
                         $D97&amp;IF($E97=""," Total",
                         $E97&amp;IF($F97=""," Total",
                        $F97)))),
data_source!$A:$A,
0)),"")</f>
        <v>49</v>
      </c>
      <c r="M97" s="22">
        <f t="shared" si="3"/>
        <v>49</v>
      </c>
      <c r="N97" s="38" t="str">
        <f t="shared" si="4"/>
        <v xml:space="preserve">[new] </v>
      </c>
      <c r="O97" s="1"/>
    </row>
    <row r="98" spans="2:15" x14ac:dyDescent="0.25">
      <c r="B98" s="15" t="s">
        <v>33</v>
      </c>
      <c r="C98" s="15" t="s">
        <v>23</v>
      </c>
      <c r="D98" s="15" t="s">
        <v>25</v>
      </c>
      <c r="E98" s="15" t="s">
        <v>81</v>
      </c>
      <c r="F98" s="16" t="s">
        <v>18</v>
      </c>
      <c r="K98" s="21" t="str">
        <f>IFERROR(
          INDEX(data_source!$J:$J,MATCH(TEXT(K$27,"yyyy-mm-dd")
                       &amp;$B98&amp;IF($C98=""," Total",
                          $C98&amp;IF($D98=""," Total",
                         $D98&amp;IF($E98=""," Total",
                         $E98&amp;IF($F98=""," Total",
                        $F98)))),
data_source!$A:$A,
0)),"")</f>
        <v/>
      </c>
      <c r="L98" s="21">
        <f>IFERROR(
          INDEX(data_source!$J:$J,MATCH(TEXT(L$27,"yyyy-mm-dd")
                       &amp;$B98&amp;IF($C98=""," Total",
                          $C98&amp;IF($D98=""," Total",
                         $D98&amp;IF($E98=""," Total",
                         $E98&amp;IF($F98=""," Total",
                        $F98)))),
data_source!$A:$A,
0)),"")</f>
        <v>48</v>
      </c>
      <c r="M98" s="22">
        <f t="shared" si="3"/>
        <v>48</v>
      </c>
      <c r="N98" s="38" t="str">
        <f t="shared" si="4"/>
        <v xml:space="preserve">[new] </v>
      </c>
      <c r="O98" s="1"/>
    </row>
    <row r="99" spans="2:15" x14ac:dyDescent="0.25">
      <c r="B99" s="15" t="s">
        <v>33</v>
      </c>
      <c r="C99" s="15" t="s">
        <v>23</v>
      </c>
      <c r="D99" s="15" t="s">
        <v>25</v>
      </c>
      <c r="E99" s="15" t="s">
        <v>81</v>
      </c>
      <c r="F99" s="16" t="s">
        <v>7</v>
      </c>
      <c r="K99" s="21" t="str">
        <f>IFERROR(
          INDEX(data_source!$J:$J,MATCH(TEXT(K$27,"yyyy-mm-dd")
                       &amp;$B99&amp;IF($C99=""," Total",
                          $C99&amp;IF($D99=""," Total",
                         $D99&amp;IF($E99=""," Total",
                         $E99&amp;IF($F99=""," Total",
                        $F99)))),
data_source!$A:$A,
0)),"")</f>
        <v/>
      </c>
      <c r="L99" s="21">
        <f>IFERROR(
          INDEX(data_source!$J:$J,MATCH(TEXT(L$27,"yyyy-mm-dd")
                       &amp;$B99&amp;IF($C99=""," Total",
                          $C99&amp;IF($D99=""," Total",
                         $D99&amp;IF($E99=""," Total",
                         $E99&amp;IF($F99=""," Total",
                        $F99)))),
data_source!$A:$A,
0)),"")</f>
        <v>1</v>
      </c>
      <c r="M99" s="22">
        <f t="shared" si="3"/>
        <v>1</v>
      </c>
      <c r="N99" s="38" t="str">
        <f t="shared" si="4"/>
        <v xml:space="preserve">[new] </v>
      </c>
      <c r="O99" s="1"/>
    </row>
    <row r="100" spans="2:15" x14ac:dyDescent="0.25">
      <c r="B100" s="15" t="s">
        <v>33</v>
      </c>
      <c r="C100" s="15" t="s">
        <v>23</v>
      </c>
      <c r="D100" s="15" t="s">
        <v>25</v>
      </c>
      <c r="E100" s="16" t="s">
        <v>82</v>
      </c>
      <c r="K100" s="21" t="str">
        <f>IFERROR(
          INDEX(data_source!$J:$J,MATCH(TEXT(K$27,"yyyy-mm-dd")
                       &amp;$B100&amp;IF($C100=""," Total",
                          $C100&amp;IF($D100=""," Total",
                         $D100&amp;IF($E100=""," Total",
                         $E100&amp;IF($F100=""," Total",
                        $F100)))),
data_source!$A:$A,
0)),"")</f>
        <v/>
      </c>
      <c r="L100" s="21">
        <f>IFERROR(
          INDEX(data_source!$J:$J,MATCH(TEXT(L$27,"yyyy-mm-dd")
                       &amp;$B100&amp;IF($C100=""," Total",
                          $C100&amp;IF($D100=""," Total",
                         $D100&amp;IF($E100=""," Total",
                         $E100&amp;IF($F100=""," Total",
                        $F100)))),
data_source!$A:$A,
0)),"")</f>
        <v>5</v>
      </c>
      <c r="M100" s="22">
        <f t="shared" si="3"/>
        <v>5</v>
      </c>
      <c r="N100" s="38" t="str">
        <f t="shared" si="4"/>
        <v xml:space="preserve">[new] </v>
      </c>
      <c r="O100" s="1"/>
    </row>
    <row r="101" spans="2:15" x14ac:dyDescent="0.25">
      <c r="B101" s="15" t="s">
        <v>33</v>
      </c>
      <c r="C101" s="15" t="s">
        <v>23</v>
      </c>
      <c r="D101" s="15" t="s">
        <v>25</v>
      </c>
      <c r="E101" s="15" t="s">
        <v>82</v>
      </c>
      <c r="F101" s="16" t="s">
        <v>21</v>
      </c>
      <c r="K101" s="21" t="str">
        <f>IFERROR(
          INDEX(data_source!$J:$J,MATCH(TEXT(K$27,"yyyy-mm-dd")
                       &amp;$B101&amp;IF($C101=""," Total",
                          $C101&amp;IF($D101=""," Total",
                         $D101&amp;IF($E101=""," Total",
                         $E101&amp;IF($F101=""," Total",
                        $F101)))),
data_source!$A:$A,
0)),"")</f>
        <v/>
      </c>
      <c r="L101" s="21">
        <f>IFERROR(
          INDEX(data_source!$J:$J,MATCH(TEXT(L$27,"yyyy-mm-dd")
                       &amp;$B101&amp;IF($C101=""," Total",
                          $C101&amp;IF($D101=""," Total",
                         $D101&amp;IF($E101=""," Total",
                         $E101&amp;IF($F101=""," Total",
                        $F101)))),
data_source!$A:$A,
0)),"")</f>
        <v>5</v>
      </c>
      <c r="M101" s="22">
        <f t="shared" si="3"/>
        <v>5</v>
      </c>
      <c r="N101" s="38" t="str">
        <f t="shared" si="4"/>
        <v xml:space="preserve">[new] </v>
      </c>
    </row>
    <row r="102" spans="2:15" x14ac:dyDescent="0.25">
      <c r="B102" s="15" t="s">
        <v>33</v>
      </c>
      <c r="C102" s="16" t="s">
        <v>22</v>
      </c>
      <c r="K102" s="21">
        <f>IFERROR(
          INDEX(data_source!$J:$J,MATCH(TEXT(K$27,"yyyy-mm-dd")
                       &amp;$B102&amp;IF($C102=""," Total",
                          $C102&amp;IF($D102=""," Total",
                         $D102&amp;IF($E102=""," Total",
                         $E102&amp;IF($F102=""," Total",
                        $F102)))),
data_source!$A:$A,
0)),"")</f>
        <v>110</v>
      </c>
      <c r="L102" s="21">
        <f>IFERROR(
          INDEX(data_source!$J:$J,MATCH(TEXT(L$27,"yyyy-mm-dd")
                       &amp;$B102&amp;IF($C102=""," Total",
                          $C102&amp;IF($D102=""," Total",
                         $D102&amp;IF($E102=""," Total",
                         $E102&amp;IF($F102=""," Total",
                        $F102)))),
data_source!$A:$A,
0)),"")</f>
        <v>215</v>
      </c>
      <c r="M102" s="22">
        <f t="shared" si="3"/>
        <v>105</v>
      </c>
      <c r="N102" s="38">
        <f t="shared" si="4"/>
        <v>0.95454545454545459</v>
      </c>
    </row>
    <row r="103" spans="2:15" x14ac:dyDescent="0.25">
      <c r="B103" s="15" t="s">
        <v>33</v>
      </c>
      <c r="C103" s="15" t="s">
        <v>22</v>
      </c>
      <c r="D103" s="16" t="s">
        <v>31</v>
      </c>
      <c r="K103" s="21">
        <f>IFERROR(
          INDEX(data_source!$J:$J,MATCH(TEXT(K$27,"yyyy-mm-dd")
                       &amp;$B103&amp;IF($C103=""," Total",
                          $C103&amp;IF($D103=""," Total",
                         $D103&amp;IF($E103=""," Total",
                         $E103&amp;IF($F103=""," Total",
                        $F103)))),
data_source!$A:$A,
0)),"")</f>
        <v>25</v>
      </c>
      <c r="L103" s="21">
        <f>IFERROR(
          INDEX(data_source!$J:$J,MATCH(TEXT(L$27,"yyyy-mm-dd")
                       &amp;$B103&amp;IF($C103=""," Total",
                          $C103&amp;IF($D103=""," Total",
                         $D103&amp;IF($E103=""," Total",
                         $E103&amp;IF($F103=""," Total",
                        $F103)))),
data_source!$A:$A,
0)),"")</f>
        <v>69</v>
      </c>
      <c r="M103" s="22">
        <f t="shared" si="3"/>
        <v>44</v>
      </c>
      <c r="N103" s="38">
        <f t="shared" si="4"/>
        <v>1.76</v>
      </c>
    </row>
    <row r="104" spans="2:15" x14ac:dyDescent="0.25">
      <c r="B104" s="15" t="s">
        <v>33</v>
      </c>
      <c r="C104" s="15" t="s">
        <v>22</v>
      </c>
      <c r="D104" s="15" t="s">
        <v>31</v>
      </c>
      <c r="E104" s="16" t="s">
        <v>81</v>
      </c>
      <c r="K104" s="21">
        <f>IFERROR(
          INDEX(data_source!$J:$J,MATCH(TEXT(K$27,"yyyy-mm-dd")
                       &amp;$B104&amp;IF($C104=""," Total",
                          $C104&amp;IF($D104=""," Total",
                         $D104&amp;IF($E104=""," Total",
                         $E104&amp;IF($F104=""," Total",
                        $F104)))),
data_source!$A:$A,
0)),"")</f>
        <v>25</v>
      </c>
      <c r="L104" s="21">
        <f>IFERROR(
          INDEX(data_source!$J:$J,MATCH(TEXT(L$27,"yyyy-mm-dd")
                       &amp;$B104&amp;IF($C104=""," Total",
                          $C104&amp;IF($D104=""," Total",
                         $D104&amp;IF($E104=""," Total",
                         $E104&amp;IF($F104=""," Total",
                        $F104)))),
data_source!$A:$A,
0)),"")</f>
        <v>69</v>
      </c>
      <c r="M104" s="22">
        <f t="shared" si="3"/>
        <v>44</v>
      </c>
      <c r="N104" s="38">
        <f t="shared" si="4"/>
        <v>1.76</v>
      </c>
    </row>
    <row r="105" spans="2:15" x14ac:dyDescent="0.25">
      <c r="B105" s="15" t="s">
        <v>33</v>
      </c>
      <c r="C105" s="15" t="s">
        <v>22</v>
      </c>
      <c r="D105" s="15" t="s">
        <v>31</v>
      </c>
      <c r="E105" s="15" t="s">
        <v>81</v>
      </c>
      <c r="F105" s="16" t="s">
        <v>10</v>
      </c>
      <c r="K105" s="21" t="str">
        <f>IFERROR(
          INDEX(data_source!$J:$J,MATCH(TEXT(K$27,"yyyy-mm-dd")
                       &amp;$B105&amp;IF($C105=""," Total",
                          $C105&amp;IF($D105=""," Total",
                         $D105&amp;IF($E105=""," Total",
                         $E105&amp;IF($F105=""," Total",
                        $F105)))),
data_source!$A:$A,
0)),"")</f>
        <v/>
      </c>
      <c r="L105" s="21">
        <f>IFERROR(
          INDEX(data_source!$J:$J,MATCH(TEXT(L$27,"yyyy-mm-dd")
                       &amp;$B105&amp;IF($C105=""," Total",
                          $C105&amp;IF($D105=""," Total",
                         $D105&amp;IF($E105=""," Total",
                         $E105&amp;IF($F105=""," Total",
                        $F105)))),
data_source!$A:$A,
0)),"")</f>
        <v>22</v>
      </c>
      <c r="M105" s="22">
        <f t="shared" si="3"/>
        <v>22</v>
      </c>
      <c r="N105" s="38" t="str">
        <f t="shared" si="4"/>
        <v xml:space="preserve">[new] </v>
      </c>
    </row>
    <row r="106" spans="2:15" x14ac:dyDescent="0.25">
      <c r="B106" s="15" t="s">
        <v>33</v>
      </c>
      <c r="C106" s="15" t="s">
        <v>22</v>
      </c>
      <c r="D106" s="15" t="s">
        <v>31</v>
      </c>
      <c r="E106" s="15" t="s">
        <v>81</v>
      </c>
      <c r="F106" s="16" t="s">
        <v>13</v>
      </c>
      <c r="K106" s="21">
        <f>IFERROR(
          INDEX(data_source!$J:$J,MATCH(TEXT(K$27,"yyyy-mm-dd")
                       &amp;$B106&amp;IF($C106=""," Total",
                          $C106&amp;IF($D106=""," Total",
                         $D106&amp;IF($E106=""," Total",
                         $E106&amp;IF($F106=""," Total",
                        $F106)))),
data_source!$A:$A,
0)),"")</f>
        <v>25</v>
      </c>
      <c r="L106" s="21">
        <f>IFERROR(
          INDEX(data_source!$J:$J,MATCH(TEXT(L$27,"yyyy-mm-dd")
                       &amp;$B106&amp;IF($C106=""," Total",
                          $C106&amp;IF($D106=""," Total",
                         $D106&amp;IF($E106=""," Total",
                         $E106&amp;IF($F106=""," Total",
                        $F106)))),
data_source!$A:$A,
0)),"")</f>
        <v>47</v>
      </c>
      <c r="M106" s="22">
        <f t="shared" si="3"/>
        <v>22</v>
      </c>
      <c r="N106" s="38">
        <f t="shared" si="4"/>
        <v>0.88</v>
      </c>
    </row>
    <row r="107" spans="2:15" x14ac:dyDescent="0.25">
      <c r="B107" s="15" t="s">
        <v>33</v>
      </c>
      <c r="C107" s="15" t="s">
        <v>22</v>
      </c>
      <c r="D107" s="16" t="s">
        <v>30</v>
      </c>
      <c r="K107" s="21">
        <f>IFERROR(
          INDEX(data_source!$J:$J,MATCH(TEXT(K$27,"yyyy-mm-dd")
                       &amp;$B107&amp;IF($C107=""," Total",
                          $C107&amp;IF($D107=""," Total",
                         $D107&amp;IF($E107=""," Total",
                         $E107&amp;IF($F107=""," Total",
                        $F107)))),
data_source!$A:$A,
0)),"")</f>
        <v>85</v>
      </c>
      <c r="L107" s="21">
        <f>IFERROR(
          INDEX(data_source!$J:$J,MATCH(TEXT(L$27,"yyyy-mm-dd")
                       &amp;$B107&amp;IF($C107=""," Total",
                          $C107&amp;IF($D107=""," Total",
                         $D107&amp;IF($E107=""," Total",
                         $E107&amp;IF($F107=""," Total",
                        $F107)))),
data_source!$A:$A,
0)),"")</f>
        <v>146</v>
      </c>
      <c r="M107" s="22">
        <f t="shared" si="3"/>
        <v>61</v>
      </c>
      <c r="N107" s="38">
        <f t="shared" si="4"/>
        <v>0.71764705882352942</v>
      </c>
    </row>
    <row r="108" spans="2:15" x14ac:dyDescent="0.25">
      <c r="B108" s="15" t="s">
        <v>33</v>
      </c>
      <c r="C108" s="15" t="s">
        <v>22</v>
      </c>
      <c r="D108" s="15" t="s">
        <v>30</v>
      </c>
      <c r="E108" s="16" t="s">
        <v>80</v>
      </c>
      <c r="K108" s="21">
        <f>IFERROR(
          INDEX(data_source!$J:$J,MATCH(TEXT(K$27,"yyyy-mm-dd")
                       &amp;$B108&amp;IF($C108=""," Total",
                          $C108&amp;IF($D108=""," Total",
                         $D108&amp;IF($E108=""," Total",
                         $E108&amp;IF($F108=""," Total",
                        $F108)))),
data_source!$A:$A,
0)),"")</f>
        <v>85</v>
      </c>
      <c r="L108" s="21">
        <f>IFERROR(
          INDEX(data_source!$J:$J,MATCH(TEXT(L$27,"yyyy-mm-dd")
                       &amp;$B108&amp;IF($C108=""," Total",
                          $C108&amp;IF($D108=""," Total",
                         $D108&amp;IF($E108=""," Total",
                         $E108&amp;IF($F108=""," Total",
                        $F108)))),
data_source!$A:$A,
0)),"")</f>
        <v>146</v>
      </c>
      <c r="M108" s="22">
        <f t="shared" si="3"/>
        <v>61</v>
      </c>
      <c r="N108" s="38">
        <f t="shared" si="4"/>
        <v>0.71764705882352942</v>
      </c>
    </row>
    <row r="109" spans="2:15" x14ac:dyDescent="0.25">
      <c r="B109" s="15" t="s">
        <v>33</v>
      </c>
      <c r="C109" s="15" t="s">
        <v>22</v>
      </c>
      <c r="D109" s="15" t="s">
        <v>30</v>
      </c>
      <c r="E109" s="15" t="s">
        <v>80</v>
      </c>
      <c r="F109" s="16" t="s">
        <v>19</v>
      </c>
      <c r="K109" s="21">
        <f>IFERROR(
          INDEX(data_source!$J:$J,MATCH(TEXT(K$27,"yyyy-mm-dd")
                       &amp;$B109&amp;IF($C109=""," Total",
                          $C109&amp;IF($D109=""," Total",
                         $D109&amp;IF($E109=""," Total",
                         $E109&amp;IF($F109=""," Total",
                        $F109)))),
data_source!$A:$A,
0)),"")</f>
        <v>3</v>
      </c>
      <c r="L109" s="21" t="str">
        <f>IFERROR(
          INDEX(data_source!$J:$J,MATCH(TEXT(L$27,"yyyy-mm-dd")
                       &amp;$B109&amp;IF($C109=""," Total",
                          $C109&amp;IF($D109=""," Total",
                         $D109&amp;IF($E109=""," Total",
                         $E109&amp;IF($F109=""," Total",
                        $F109)))),
data_source!$A:$A,
0)),"")</f>
        <v/>
      </c>
      <c r="M109" s="22">
        <f t="shared" si="3"/>
        <v>-3</v>
      </c>
      <c r="N109" s="38" t="str">
        <f t="shared" si="4"/>
        <v xml:space="preserve">[quit] </v>
      </c>
    </row>
    <row r="110" spans="2:15" x14ac:dyDescent="0.25">
      <c r="B110" s="15" t="s">
        <v>33</v>
      </c>
      <c r="C110" s="15" t="s">
        <v>22</v>
      </c>
      <c r="D110" s="15" t="s">
        <v>30</v>
      </c>
      <c r="E110" s="15" t="s">
        <v>80</v>
      </c>
      <c r="F110" s="16" t="s">
        <v>17</v>
      </c>
      <c r="K110" s="21">
        <f>IFERROR(
          INDEX(data_source!$J:$J,MATCH(TEXT(K$27,"yyyy-mm-dd")
                       &amp;$B110&amp;IF($C110=""," Total",
                          $C110&amp;IF($D110=""," Total",
                         $D110&amp;IF($E110=""," Total",
                         $E110&amp;IF($F110=""," Total",
                        $F110)))),
data_source!$A:$A,
0)),"")</f>
        <v>26</v>
      </c>
      <c r="L110" s="21">
        <f>IFERROR(
          INDEX(data_source!$J:$J,MATCH(TEXT(L$27,"yyyy-mm-dd")
                       &amp;$B110&amp;IF($C110=""," Total",
                          $C110&amp;IF($D110=""," Total",
                         $D110&amp;IF($E110=""," Total",
                         $E110&amp;IF($F110=""," Total",
                        $F110)))),
data_source!$A:$A,
0)),"")</f>
        <v>47</v>
      </c>
      <c r="M110" s="22">
        <f t="shared" si="3"/>
        <v>21</v>
      </c>
      <c r="N110" s="38">
        <f t="shared" si="4"/>
        <v>0.80769230769230771</v>
      </c>
    </row>
    <row r="111" spans="2:15" x14ac:dyDescent="0.25">
      <c r="B111" s="15" t="s">
        <v>33</v>
      </c>
      <c r="C111" s="15" t="s">
        <v>22</v>
      </c>
      <c r="D111" s="15" t="s">
        <v>30</v>
      </c>
      <c r="E111" s="15" t="s">
        <v>80</v>
      </c>
      <c r="F111" s="16" t="s">
        <v>14</v>
      </c>
      <c r="K111" s="21">
        <f>IFERROR(
          INDEX(data_source!$J:$J,MATCH(TEXT(K$27,"yyyy-mm-dd")
                       &amp;$B111&amp;IF($C111=""," Total",
                          $C111&amp;IF($D111=""," Total",
                         $D111&amp;IF($E111=""," Total",
                         $E111&amp;IF($F111=""," Total",
                        $F111)))),
data_source!$A:$A,
0)),"")</f>
        <v>32</v>
      </c>
      <c r="L111" s="21" t="str">
        <f>IFERROR(
          INDEX(data_source!$J:$J,MATCH(TEXT(L$27,"yyyy-mm-dd")
                       &amp;$B111&amp;IF($C111=""," Total",
                          $C111&amp;IF($D111=""," Total",
                         $D111&amp;IF($E111=""," Total",
                         $E111&amp;IF($F111=""," Total",
                        $F111)))),
data_source!$A:$A,
0)),"")</f>
        <v/>
      </c>
      <c r="M111" s="22">
        <f t="shared" si="3"/>
        <v>-32</v>
      </c>
      <c r="N111" s="38" t="str">
        <f t="shared" si="4"/>
        <v xml:space="preserve">[quit] </v>
      </c>
    </row>
    <row r="112" spans="2:15" x14ac:dyDescent="0.25">
      <c r="B112" s="15" t="s">
        <v>33</v>
      </c>
      <c r="C112" s="15" t="s">
        <v>22</v>
      </c>
      <c r="D112" s="15" t="s">
        <v>30</v>
      </c>
      <c r="E112" s="15" t="s">
        <v>80</v>
      </c>
      <c r="F112" s="16" t="s">
        <v>20</v>
      </c>
      <c r="K112" s="21" t="str">
        <f>IFERROR(
          INDEX(data_source!$J:$J,MATCH(TEXT(K$27,"yyyy-mm-dd")
                       &amp;$B112&amp;IF($C112=""," Total",
                          $C112&amp;IF($D112=""," Total",
                         $D112&amp;IF($E112=""," Total",
                         $E112&amp;IF($F112=""," Total",
                        $F112)))),
data_source!$A:$A,
0)),"")</f>
        <v/>
      </c>
      <c r="L112" s="21">
        <f>IFERROR(
          INDEX(data_source!$J:$J,MATCH(TEXT(L$27,"yyyy-mm-dd")
                       &amp;$B112&amp;IF($C112=""," Total",
                          $C112&amp;IF($D112=""," Total",
                         $D112&amp;IF($E112=""," Total",
                         $E112&amp;IF($F112=""," Total",
                        $F112)))),
data_source!$A:$A,
0)),"")</f>
        <v>42</v>
      </c>
      <c r="M112" s="22">
        <f t="shared" si="3"/>
        <v>42</v>
      </c>
      <c r="N112" s="38" t="str">
        <f t="shared" si="4"/>
        <v xml:space="preserve">[new] </v>
      </c>
    </row>
    <row r="113" spans="2:14" x14ac:dyDescent="0.25">
      <c r="B113" s="15" t="s">
        <v>33</v>
      </c>
      <c r="C113" s="15" t="s">
        <v>22</v>
      </c>
      <c r="D113" s="15" t="s">
        <v>30</v>
      </c>
      <c r="E113" s="15" t="s">
        <v>80</v>
      </c>
      <c r="F113" s="16" t="s">
        <v>8</v>
      </c>
      <c r="K113" s="21" t="str">
        <f>IFERROR(
          INDEX(data_source!$J:$J,MATCH(TEXT(K$27,"yyyy-mm-dd")
                       &amp;$B113&amp;IF($C113=""," Total",
                          $C113&amp;IF($D113=""," Total",
                         $D113&amp;IF($E113=""," Total",
                         $E113&amp;IF($F113=""," Total",
                        $F113)))),
data_source!$A:$A,
0)),"")</f>
        <v/>
      </c>
      <c r="L113" s="21">
        <f>IFERROR(
          INDEX(data_source!$J:$J,MATCH(TEXT(L$27,"yyyy-mm-dd")
                       &amp;$B113&amp;IF($C113=""," Total",
                          $C113&amp;IF($D113=""," Total",
                         $D113&amp;IF($E113=""," Total",
                         $E113&amp;IF($F113=""," Total",
                        $F113)))),
data_source!$A:$A,
0)),"")</f>
        <v>25</v>
      </c>
      <c r="M113" s="22">
        <f t="shared" si="3"/>
        <v>25</v>
      </c>
      <c r="N113" s="38" t="str">
        <f t="shared" si="4"/>
        <v xml:space="preserve">[new] </v>
      </c>
    </row>
    <row r="114" spans="2:14" x14ac:dyDescent="0.25">
      <c r="B114" s="15" t="s">
        <v>33</v>
      </c>
      <c r="C114" s="15" t="s">
        <v>22</v>
      </c>
      <c r="D114" s="15" t="s">
        <v>30</v>
      </c>
      <c r="E114" s="15" t="s">
        <v>80</v>
      </c>
      <c r="F114" s="16" t="s">
        <v>12</v>
      </c>
      <c r="K114" s="21">
        <f>IFERROR(
          INDEX(data_source!$J:$J,MATCH(TEXT(K$27,"yyyy-mm-dd")
                       &amp;$B114&amp;IF($C114=""," Total",
                          $C114&amp;IF($D114=""," Total",
                         $D114&amp;IF($E114=""," Total",
                         $E114&amp;IF($F114=""," Total",
                        $F114)))),
data_source!$A:$A,
0)),"")</f>
        <v>24</v>
      </c>
      <c r="L114" s="21">
        <f>IFERROR(
          INDEX(data_source!$J:$J,MATCH(TEXT(L$27,"yyyy-mm-dd")
                       &amp;$B114&amp;IF($C114=""," Total",
                          $C114&amp;IF($D114=""," Total",
                         $D114&amp;IF($E114=""," Total",
                         $E114&amp;IF($F114=""," Total",
                        $F114)))),
data_source!$A:$A,
0)),"")</f>
        <v>32</v>
      </c>
      <c r="M114" s="22">
        <f t="shared" si="3"/>
        <v>8</v>
      </c>
      <c r="N114" s="38">
        <f t="shared" si="4"/>
        <v>0.33333333333333331</v>
      </c>
    </row>
  </sheetData>
  <sheetProtection algorithmName="SHA-512" hashValue="/gqfnPiVdF7UygVP5WWC7hEZE0CIrEElyj0RhrLc+dD/+r0mfOZQ4BweR9rqNxaYNJXK5UTaJdGW1aWCKP23mw==" saltValue="r8FG0apkc29Qea78HCISRA==" spinCount="100000" sheet="1" objects="1" scenarios="1" autoFilter="0"/>
  <mergeCells count="4">
    <mergeCell ref="B14:G14"/>
    <mergeCell ref="B13:G13"/>
    <mergeCell ref="B16:G16"/>
    <mergeCell ref="B15:G15"/>
  </mergeCells>
  <dataValidations count="1">
    <dataValidation type="date" allowBlank="1" showInputMessage="1" showErrorMessage="1" sqref="H6:H7">
      <formula1>36526</formula1>
      <formula2>54788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B_Hierarchy1">
              <controlPr defaultSize="0" autoFill="0" autoLine="0" autoPict="0">
                <anchor moveWithCells="1">
                  <from>
                    <xdr:col>1</xdr:col>
                    <xdr:colOff>0</xdr:colOff>
                    <xdr:row>21</xdr:row>
                    <xdr:rowOff>0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B_Hierarchy2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B_Hierarchy3">
              <controlPr defaultSize="0" autoFill="0" autoLine="0" autoPict="0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B_Hierarchy4">
              <controlPr defaultSize="0" autoFill="0" autoLine="0" autoPict="0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7</xdr:col>
                    <xdr:colOff>200025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B_Hierarchy5">
              <controlPr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7</xdr:col>
                    <xdr:colOff>400050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_DATASOURCE"/>
  <dimension ref="A1:J135"/>
  <sheetViews>
    <sheetView tabSelected="1" workbookViewId="0">
      <selection activeCell="E14" sqref="E14"/>
    </sheetView>
  </sheetViews>
  <sheetFormatPr defaultRowHeight="15" x14ac:dyDescent="0.25"/>
  <cols>
    <col min="1" max="1" width="55.28515625" customWidth="1"/>
    <col min="2" max="3" width="16.28515625" customWidth="1"/>
    <col min="4" max="4" width="32.7109375" customWidth="1"/>
    <col min="5" max="5" width="24.28515625" customWidth="1"/>
    <col min="6" max="10" width="16.28515625" customWidth="1"/>
  </cols>
  <sheetData>
    <row r="1" spans="1:10" x14ac:dyDescent="0.25">
      <c r="A1" s="13" t="s">
        <v>79</v>
      </c>
      <c r="B1" s="13" t="s">
        <v>104</v>
      </c>
    </row>
    <row r="3" spans="1:10" x14ac:dyDescent="0.25">
      <c r="A3" s="3" t="str">
        <f>TEXT(B3,"yyyy-mm-dd")&amp;C3&amp;D3&amp;E3&amp;F3&amp;H3</f>
        <v>1900-01-00</v>
      </c>
    </row>
    <row r="4" spans="1:10" x14ac:dyDescent="0.25">
      <c r="A4" s="19" t="s">
        <v>90</v>
      </c>
      <c r="B4" s="20" t="s">
        <v>0</v>
      </c>
      <c r="C4" s="20" t="s">
        <v>1</v>
      </c>
      <c r="D4" s="20" t="s">
        <v>2</v>
      </c>
      <c r="E4" s="20" t="s">
        <v>4</v>
      </c>
      <c r="F4" s="20" t="s">
        <v>3</v>
      </c>
      <c r="G4" s="20" t="s">
        <v>56</v>
      </c>
      <c r="H4" s="20" t="s">
        <v>5</v>
      </c>
      <c r="I4" s="20" t="s">
        <v>42</v>
      </c>
      <c r="J4" s="20" t="s">
        <v>103</v>
      </c>
    </row>
    <row r="5" spans="1:10" x14ac:dyDescent="0.25">
      <c r="A5" s="3" t="str">
        <f>TEXT(B5,"yyyy-mm-dd")&amp;C5&amp;D5&amp;E5&amp;F5&amp;H5</f>
        <v>2021-05-31WrocławTechnikum nr 5Pan KleksClass ARozalia</v>
      </c>
      <c r="B5" s="4" t="s">
        <v>62</v>
      </c>
      <c r="C5" t="s">
        <v>33</v>
      </c>
      <c r="D5" t="s">
        <v>22</v>
      </c>
      <c r="E5" t="s">
        <v>30</v>
      </c>
      <c r="F5" t="s">
        <v>80</v>
      </c>
      <c r="G5" t="s">
        <v>39</v>
      </c>
      <c r="H5" t="s">
        <v>20</v>
      </c>
      <c r="I5" t="s">
        <v>44</v>
      </c>
      <c r="J5">
        <v>42</v>
      </c>
    </row>
    <row r="6" spans="1:10" x14ac:dyDescent="0.25">
      <c r="A6" s="3" t="str">
        <f t="shared" ref="A6:A82" si="0">TEXT(B6,"yyyy-mm-dd")&amp;C6&amp;D6&amp;E6&amp;F6&amp;H6</f>
        <v>2021-05-31WrocławTechnikum nr 5Pan KleksClass AWłodek</v>
      </c>
      <c r="B6" s="4" t="s">
        <v>62</v>
      </c>
      <c r="C6" t="s">
        <v>33</v>
      </c>
      <c r="D6" t="s">
        <v>22</v>
      </c>
      <c r="E6" t="s">
        <v>30</v>
      </c>
      <c r="F6" t="s">
        <v>80</v>
      </c>
      <c r="G6" t="s">
        <v>39</v>
      </c>
      <c r="H6" t="s">
        <v>12</v>
      </c>
      <c r="I6" t="s">
        <v>45</v>
      </c>
      <c r="J6">
        <v>32</v>
      </c>
    </row>
    <row r="7" spans="1:10" ht="14.25" customHeight="1" x14ac:dyDescent="0.25">
      <c r="A7" s="3" t="str">
        <f t="shared" si="0"/>
        <v>2021-05-31WrocławTechnikum nr 5Pan KleksClass AMaciek</v>
      </c>
      <c r="B7" s="4" t="s">
        <v>62</v>
      </c>
      <c r="C7" t="s">
        <v>33</v>
      </c>
      <c r="D7" t="s">
        <v>22</v>
      </c>
      <c r="E7" t="s">
        <v>30</v>
      </c>
      <c r="F7" t="s">
        <v>80</v>
      </c>
      <c r="G7" t="s">
        <v>39</v>
      </c>
      <c r="H7" t="s">
        <v>17</v>
      </c>
      <c r="I7" t="s">
        <v>45</v>
      </c>
      <c r="J7">
        <v>47</v>
      </c>
    </row>
    <row r="8" spans="1:10" ht="14.25" customHeight="1" x14ac:dyDescent="0.25">
      <c r="A8" s="3" t="str">
        <f t="shared" si="0"/>
        <v>2021-05-31WrocławTechnikum nr 5Pan KleksClass ATomek</v>
      </c>
      <c r="B8" s="4" t="s">
        <v>62</v>
      </c>
      <c r="C8" t="s">
        <v>33</v>
      </c>
      <c r="D8" t="s">
        <v>22</v>
      </c>
      <c r="E8" t="s">
        <v>30</v>
      </c>
      <c r="F8" t="s">
        <v>80</v>
      </c>
      <c r="G8" t="s">
        <v>39</v>
      </c>
      <c r="H8" t="s">
        <v>8</v>
      </c>
      <c r="I8" t="s">
        <v>51</v>
      </c>
      <c r="J8">
        <v>25</v>
      </c>
    </row>
    <row r="9" spans="1:10" ht="14.25" customHeight="1" x14ac:dyDescent="0.25">
      <c r="A9" s="3" t="str">
        <f t="shared" si="0"/>
        <v>2021-05-31WrocławTechnikum nr 5Pan KleksClass A Total</v>
      </c>
      <c r="B9" s="4" t="s">
        <v>62</v>
      </c>
      <c r="C9" t="s">
        <v>33</v>
      </c>
      <c r="D9" t="s">
        <v>22</v>
      </c>
      <c r="E9" t="s">
        <v>30</v>
      </c>
      <c r="F9" s="9" t="s">
        <v>85</v>
      </c>
      <c r="G9" s="7"/>
      <c r="H9" s="7"/>
      <c r="I9" s="7"/>
      <c r="J9" s="7">
        <v>146</v>
      </c>
    </row>
    <row r="10" spans="1:10" ht="14.25" customHeight="1" x14ac:dyDescent="0.25">
      <c r="A10" s="3" t="str">
        <f t="shared" si="0"/>
        <v>2021-05-31WrocławTechnikum nr 5Pan Kleks Total</v>
      </c>
      <c r="B10" s="4" t="s">
        <v>62</v>
      </c>
      <c r="C10" t="s">
        <v>33</v>
      </c>
      <c r="D10" t="s">
        <v>22</v>
      </c>
      <c r="E10" s="9" t="s">
        <v>92</v>
      </c>
      <c r="F10" s="7"/>
      <c r="G10" s="7"/>
      <c r="H10" s="7"/>
      <c r="I10" s="7"/>
      <c r="J10" s="7">
        <v>146</v>
      </c>
    </row>
    <row r="11" spans="1:10" x14ac:dyDescent="0.25">
      <c r="A11" s="3" t="str">
        <f t="shared" si="0"/>
        <v>2021-05-31WrocławTechnikum nr 5Mr WhoClass BMichał</v>
      </c>
      <c r="B11" s="4" t="s">
        <v>62</v>
      </c>
      <c r="C11" t="s">
        <v>33</v>
      </c>
      <c r="D11" t="s">
        <v>22</v>
      </c>
      <c r="E11" t="s">
        <v>31</v>
      </c>
      <c r="F11" t="s">
        <v>81</v>
      </c>
      <c r="G11" t="s">
        <v>40</v>
      </c>
      <c r="H11" t="s">
        <v>13</v>
      </c>
      <c r="I11" t="s">
        <v>47</v>
      </c>
      <c r="J11">
        <v>47</v>
      </c>
    </row>
    <row r="12" spans="1:10" x14ac:dyDescent="0.25">
      <c r="A12" s="3" t="str">
        <f t="shared" si="0"/>
        <v>2021-05-31WrocławTechnikum nr 5Mr WhoClass BJacek</v>
      </c>
      <c r="B12" s="4" t="s">
        <v>62</v>
      </c>
      <c r="C12" t="s">
        <v>33</v>
      </c>
      <c r="D12" t="s">
        <v>22</v>
      </c>
      <c r="E12" t="s">
        <v>31</v>
      </c>
      <c r="F12" t="s">
        <v>81</v>
      </c>
      <c r="G12" t="s">
        <v>40</v>
      </c>
      <c r="H12" t="s">
        <v>10</v>
      </c>
      <c r="I12" t="s">
        <v>49</v>
      </c>
      <c r="J12">
        <v>22</v>
      </c>
    </row>
    <row r="13" spans="1:10" x14ac:dyDescent="0.25">
      <c r="A13" s="3" t="str">
        <f t="shared" si="0"/>
        <v>2021-05-31WrocławTechnikum nr 5Mr WhoClass B Total</v>
      </c>
      <c r="B13" s="4" t="s">
        <v>62</v>
      </c>
      <c r="C13" t="s">
        <v>33</v>
      </c>
      <c r="D13" t="s">
        <v>22</v>
      </c>
      <c r="E13" t="s">
        <v>31</v>
      </c>
      <c r="F13" s="9" t="s">
        <v>86</v>
      </c>
      <c r="G13" s="7"/>
      <c r="H13" s="7"/>
      <c r="I13" s="7"/>
      <c r="J13" s="7">
        <v>69</v>
      </c>
    </row>
    <row r="14" spans="1:10" x14ac:dyDescent="0.25">
      <c r="A14" s="3" t="str">
        <f t="shared" ref="A14" si="1">TEXT(B14,"yyyy-mm-dd")&amp;C14&amp;D14&amp;E14&amp;F14&amp;H14</f>
        <v>2021-05-31WrocławTechnikum nr 5Mr Who Total</v>
      </c>
      <c r="B14" s="4" t="s">
        <v>62</v>
      </c>
      <c r="C14" t="s">
        <v>33</v>
      </c>
      <c r="D14" t="s">
        <v>22</v>
      </c>
      <c r="E14" s="9" t="s">
        <v>93</v>
      </c>
      <c r="F14" s="9"/>
      <c r="G14" s="7"/>
      <c r="H14" s="7"/>
      <c r="I14" s="7"/>
      <c r="J14" s="7">
        <v>69</v>
      </c>
    </row>
    <row r="15" spans="1:10" x14ac:dyDescent="0.25">
      <c r="A15" s="3" t="str">
        <f t="shared" si="0"/>
        <v>2021-05-31WrocławTechnikum nr 5 Total</v>
      </c>
      <c r="B15" s="4" t="s">
        <v>62</v>
      </c>
      <c r="C15" t="s">
        <v>33</v>
      </c>
      <c r="D15" s="9" t="s">
        <v>61</v>
      </c>
      <c r="E15" s="9"/>
      <c r="F15" s="9"/>
      <c r="G15" s="9"/>
      <c r="H15" s="9"/>
      <c r="I15" s="9"/>
      <c r="J15" s="9">
        <v>215</v>
      </c>
    </row>
    <row r="16" spans="1:10" x14ac:dyDescent="0.25">
      <c r="A16" s="3" t="str">
        <f t="shared" si="0"/>
        <v>2021-05-31WrocławLiceum im. Maryli RodowiczMaryla RodowiczClass AMarcin</v>
      </c>
      <c r="B16" s="4" t="s">
        <v>62</v>
      </c>
      <c r="C16" t="s">
        <v>33</v>
      </c>
      <c r="D16" t="s">
        <v>23</v>
      </c>
      <c r="E16" t="s">
        <v>24</v>
      </c>
      <c r="F16" t="s">
        <v>80</v>
      </c>
      <c r="G16" t="s">
        <v>39</v>
      </c>
      <c r="H16" t="s">
        <v>14</v>
      </c>
      <c r="I16" t="s">
        <v>53</v>
      </c>
      <c r="J16">
        <v>1</v>
      </c>
    </row>
    <row r="17" spans="1:10" x14ac:dyDescent="0.25">
      <c r="A17" s="3" t="str">
        <f t="shared" si="0"/>
        <v>2021-05-31WrocławLiceum im. Maryli RodowiczMaryla RodowiczClass AKlaudia</v>
      </c>
      <c r="B17" s="4" t="s">
        <v>62</v>
      </c>
      <c r="C17" t="s">
        <v>33</v>
      </c>
      <c r="D17" t="s">
        <v>23</v>
      </c>
      <c r="E17" t="s">
        <v>24</v>
      </c>
      <c r="F17" t="s">
        <v>80</v>
      </c>
      <c r="G17" t="s">
        <v>39</v>
      </c>
      <c r="H17" t="s">
        <v>15</v>
      </c>
      <c r="I17" t="s">
        <v>45</v>
      </c>
      <c r="J17">
        <v>50</v>
      </c>
    </row>
    <row r="18" spans="1:10" x14ac:dyDescent="0.25">
      <c r="A18" s="3" t="str">
        <f t="shared" si="0"/>
        <v>2021-05-31WrocławLiceum im. Maryli RodowiczMaryla RodowiczClass AKlaudia</v>
      </c>
      <c r="B18" s="4" t="s">
        <v>62</v>
      </c>
      <c r="C18" t="s">
        <v>33</v>
      </c>
      <c r="D18" t="s">
        <v>23</v>
      </c>
      <c r="E18" t="s">
        <v>24</v>
      </c>
      <c r="F18" t="s">
        <v>80</v>
      </c>
      <c r="G18" t="s">
        <v>39</v>
      </c>
      <c r="H18" t="s">
        <v>15</v>
      </c>
      <c r="I18" t="s">
        <v>51</v>
      </c>
      <c r="J18">
        <v>43</v>
      </c>
    </row>
    <row r="19" spans="1:10" x14ac:dyDescent="0.25">
      <c r="A19" s="3" t="str">
        <f t="shared" si="0"/>
        <v>2021-05-31WrocławLiceum im. Maryli RodowiczMaryla RodowiczClass AAsia</v>
      </c>
      <c r="B19" s="4" t="s">
        <v>62</v>
      </c>
      <c r="C19" t="s">
        <v>33</v>
      </c>
      <c r="D19" t="s">
        <v>23</v>
      </c>
      <c r="E19" t="s">
        <v>24</v>
      </c>
      <c r="F19" t="s">
        <v>80</v>
      </c>
      <c r="G19" t="s">
        <v>39</v>
      </c>
      <c r="H19" t="s">
        <v>6</v>
      </c>
      <c r="I19" t="s">
        <v>52</v>
      </c>
      <c r="J19">
        <v>19</v>
      </c>
    </row>
    <row r="20" spans="1:10" x14ac:dyDescent="0.25">
      <c r="A20" s="3" t="str">
        <f t="shared" si="0"/>
        <v>2021-05-31WrocławLiceum im. Maryli RodowiczMaryla RodowiczClass A Total</v>
      </c>
      <c r="B20" s="4" t="s">
        <v>62</v>
      </c>
      <c r="C20" t="s">
        <v>33</v>
      </c>
      <c r="D20" t="s">
        <v>23</v>
      </c>
      <c r="E20" t="s">
        <v>24</v>
      </c>
      <c r="F20" s="9" t="s">
        <v>85</v>
      </c>
      <c r="G20" s="7"/>
      <c r="H20" s="7"/>
      <c r="I20" s="7"/>
      <c r="J20" s="7">
        <v>113</v>
      </c>
    </row>
    <row r="21" spans="1:10" x14ac:dyDescent="0.25">
      <c r="A21" s="3" t="str">
        <f t="shared" si="0"/>
        <v>2021-05-31WrocławLiceum im. Maryli RodowiczMaryla Rodowicz Total</v>
      </c>
      <c r="B21" s="4" t="s">
        <v>62</v>
      </c>
      <c r="C21" t="s">
        <v>33</v>
      </c>
      <c r="D21" t="s">
        <v>23</v>
      </c>
      <c r="E21" s="9" t="s">
        <v>94</v>
      </c>
      <c r="F21" s="9"/>
      <c r="G21" s="7"/>
      <c r="H21" s="7"/>
      <c r="I21" s="7"/>
      <c r="J21" s="7">
        <v>113</v>
      </c>
    </row>
    <row r="22" spans="1:10" x14ac:dyDescent="0.25">
      <c r="A22" s="3" t="str">
        <f t="shared" si="0"/>
        <v>2021-05-31WrocławLiceum im. Maryli RodowiczZygmunt HajzerClass BKasia</v>
      </c>
      <c r="B22" s="4" t="s">
        <v>62</v>
      </c>
      <c r="C22" t="s">
        <v>33</v>
      </c>
      <c r="D22" t="s">
        <v>23</v>
      </c>
      <c r="E22" t="s">
        <v>25</v>
      </c>
      <c r="F22" t="s">
        <v>81</v>
      </c>
      <c r="G22" t="s">
        <v>40</v>
      </c>
      <c r="H22" t="s">
        <v>7</v>
      </c>
      <c r="I22" t="s">
        <v>54</v>
      </c>
      <c r="J22">
        <v>1</v>
      </c>
    </row>
    <row r="23" spans="1:10" x14ac:dyDescent="0.25">
      <c r="A23" s="3" t="str">
        <f t="shared" si="0"/>
        <v>2021-05-31WrocławLiceum im. Maryli RodowiczZygmunt HajzerClass BIwona</v>
      </c>
      <c r="B23" s="4" t="s">
        <v>62</v>
      </c>
      <c r="C23" t="s">
        <v>33</v>
      </c>
      <c r="D23" t="s">
        <v>23</v>
      </c>
      <c r="E23" t="s">
        <v>25</v>
      </c>
      <c r="F23" t="s">
        <v>81</v>
      </c>
      <c r="G23" t="s">
        <v>40</v>
      </c>
      <c r="H23" t="s">
        <v>18</v>
      </c>
      <c r="I23" t="s">
        <v>55</v>
      </c>
      <c r="J23">
        <v>48</v>
      </c>
    </row>
    <row r="24" spans="1:10" x14ac:dyDescent="0.25">
      <c r="A24" s="3" t="str">
        <f t="shared" si="0"/>
        <v>2021-05-31WrocławLiceum im. Maryli RodowiczZygmunt HajzerClass B Total</v>
      </c>
      <c r="B24" s="4" t="s">
        <v>62</v>
      </c>
      <c r="C24" t="s">
        <v>33</v>
      </c>
      <c r="D24" t="s">
        <v>23</v>
      </c>
      <c r="E24" t="s">
        <v>25</v>
      </c>
      <c r="F24" s="9" t="s">
        <v>86</v>
      </c>
      <c r="G24" s="7"/>
      <c r="H24" s="7"/>
      <c r="I24" s="7"/>
      <c r="J24" s="7">
        <v>49</v>
      </c>
    </row>
    <row r="25" spans="1:10" x14ac:dyDescent="0.25">
      <c r="A25" s="3" t="str">
        <f t="shared" si="0"/>
        <v>2021-05-31WrocławLiceum im. Maryli RodowiczZygmunt HajzerClass CJulia</v>
      </c>
      <c r="B25" s="4" t="s">
        <v>62</v>
      </c>
      <c r="C25" t="s">
        <v>33</v>
      </c>
      <c r="D25" t="s">
        <v>23</v>
      </c>
      <c r="E25" t="s">
        <v>25</v>
      </c>
      <c r="F25" t="s">
        <v>82</v>
      </c>
      <c r="G25" t="s">
        <v>39</v>
      </c>
      <c r="H25" t="s">
        <v>21</v>
      </c>
      <c r="I25" t="s">
        <v>55</v>
      </c>
      <c r="J25">
        <v>5</v>
      </c>
    </row>
    <row r="26" spans="1:10" x14ac:dyDescent="0.25">
      <c r="A26" s="3" t="str">
        <f t="shared" si="0"/>
        <v>2021-05-31WrocławLiceum im. Maryli RodowiczZygmunt HajzerClass C Total</v>
      </c>
      <c r="B26" s="4" t="s">
        <v>62</v>
      </c>
      <c r="C26" t="s">
        <v>33</v>
      </c>
      <c r="D26" t="s">
        <v>23</v>
      </c>
      <c r="E26" t="s">
        <v>25</v>
      </c>
      <c r="F26" s="9" t="s">
        <v>87</v>
      </c>
      <c r="G26" s="7"/>
      <c r="H26" s="7"/>
      <c r="I26" s="7"/>
      <c r="J26" s="7">
        <v>5</v>
      </c>
    </row>
    <row r="27" spans="1:10" x14ac:dyDescent="0.25">
      <c r="A27" s="3" t="str">
        <f t="shared" si="0"/>
        <v>2021-05-31WrocławLiceum im. Maryli RodowiczZygmunt Hajzer Total</v>
      </c>
      <c r="B27" s="4" t="s">
        <v>62</v>
      </c>
      <c r="C27" t="s">
        <v>33</v>
      </c>
      <c r="D27" t="s">
        <v>23</v>
      </c>
      <c r="E27" s="9" t="s">
        <v>95</v>
      </c>
      <c r="F27" s="9"/>
      <c r="G27" s="7"/>
      <c r="H27" s="7"/>
      <c r="I27" s="7"/>
      <c r="J27" s="7">
        <v>54</v>
      </c>
    </row>
    <row r="28" spans="1:10" x14ac:dyDescent="0.25">
      <c r="A28" s="3" t="str">
        <f t="shared" si="0"/>
        <v>2021-05-31WrocławLiceum im. Maryli RodowiczFilip HajzerClass DRozalia</v>
      </c>
      <c r="B28" s="4" t="s">
        <v>62</v>
      </c>
      <c r="C28" t="s">
        <v>33</v>
      </c>
      <c r="D28" t="s">
        <v>23</v>
      </c>
      <c r="E28" t="s">
        <v>26</v>
      </c>
      <c r="F28" t="s">
        <v>83</v>
      </c>
      <c r="G28" t="s">
        <v>40</v>
      </c>
      <c r="H28" t="s">
        <v>20</v>
      </c>
      <c r="I28" t="s">
        <v>48</v>
      </c>
      <c r="J28">
        <v>29</v>
      </c>
    </row>
    <row r="29" spans="1:10" x14ac:dyDescent="0.25">
      <c r="A29" s="3" t="str">
        <f t="shared" si="0"/>
        <v>2021-05-31WrocławLiceum im. Maryli RodowiczFilip HajzerClass D Total</v>
      </c>
      <c r="B29" s="4" t="s">
        <v>62</v>
      </c>
      <c r="C29" t="s">
        <v>33</v>
      </c>
      <c r="D29" t="s">
        <v>23</v>
      </c>
      <c r="E29" t="s">
        <v>26</v>
      </c>
      <c r="F29" s="9" t="s">
        <v>88</v>
      </c>
      <c r="G29" s="7"/>
      <c r="H29" s="7"/>
      <c r="I29" s="7"/>
      <c r="J29" s="7">
        <v>29</v>
      </c>
    </row>
    <row r="30" spans="1:10" x14ac:dyDescent="0.25">
      <c r="A30" s="3" t="str">
        <f t="shared" si="0"/>
        <v>2021-05-31WrocławLiceum im. Maryli RodowiczFilip Hajzer Total</v>
      </c>
      <c r="B30" s="4" t="s">
        <v>62</v>
      </c>
      <c r="C30" t="s">
        <v>33</v>
      </c>
      <c r="D30" t="s">
        <v>23</v>
      </c>
      <c r="E30" s="9" t="s">
        <v>96</v>
      </c>
      <c r="F30" s="9"/>
      <c r="G30" s="7"/>
      <c r="H30" s="7"/>
      <c r="I30" s="7"/>
      <c r="J30" s="7">
        <v>29</v>
      </c>
    </row>
    <row r="31" spans="1:10" x14ac:dyDescent="0.25">
      <c r="A31" s="3" t="str">
        <f t="shared" si="0"/>
        <v>2021-05-31WrocławLiceum im. Maryli RodowiczHubert UrbańskiClass EMarcin</v>
      </c>
      <c r="B31" s="4" t="s">
        <v>62</v>
      </c>
      <c r="C31" t="s">
        <v>33</v>
      </c>
      <c r="D31" t="s">
        <v>23</v>
      </c>
      <c r="E31" t="s">
        <v>27</v>
      </c>
      <c r="F31" t="s">
        <v>84</v>
      </c>
      <c r="G31" t="s">
        <v>39</v>
      </c>
      <c r="H31" t="s">
        <v>14</v>
      </c>
      <c r="I31" t="s">
        <v>55</v>
      </c>
      <c r="J31">
        <v>25</v>
      </c>
    </row>
    <row r="32" spans="1:10" x14ac:dyDescent="0.25">
      <c r="A32" s="3" t="str">
        <f t="shared" si="0"/>
        <v>2021-05-31WrocławLiceum im. Maryli RodowiczHubert UrbańskiClass E Total</v>
      </c>
      <c r="B32" s="4" t="s">
        <v>62</v>
      </c>
      <c r="C32" t="s">
        <v>33</v>
      </c>
      <c r="D32" t="s">
        <v>23</v>
      </c>
      <c r="E32" t="s">
        <v>27</v>
      </c>
      <c r="F32" s="9" t="s">
        <v>89</v>
      </c>
      <c r="G32" s="7"/>
      <c r="H32" s="7"/>
      <c r="I32" s="7"/>
      <c r="J32" s="7">
        <v>25</v>
      </c>
    </row>
    <row r="33" spans="1:10" x14ac:dyDescent="0.25">
      <c r="A33" s="3" t="str">
        <f t="shared" si="0"/>
        <v>2021-05-31WrocławLiceum im. Maryli RodowiczHubert Urbański Total</v>
      </c>
      <c r="B33" s="4" t="s">
        <v>62</v>
      </c>
      <c r="C33" t="s">
        <v>33</v>
      </c>
      <c r="D33" t="s">
        <v>23</v>
      </c>
      <c r="E33" s="9" t="s">
        <v>97</v>
      </c>
      <c r="F33" s="9"/>
      <c r="G33" s="7"/>
      <c r="H33" s="7"/>
      <c r="I33" s="7"/>
      <c r="J33" s="7">
        <v>25</v>
      </c>
    </row>
    <row r="34" spans="1:10" x14ac:dyDescent="0.25">
      <c r="A34" s="3" t="str">
        <f t="shared" si="0"/>
        <v>2021-05-31WrocławLiceum im. Maryli Rodowicz Total</v>
      </c>
      <c r="B34" s="4" t="s">
        <v>62</v>
      </c>
      <c r="C34" t="s">
        <v>33</v>
      </c>
      <c r="D34" s="9" t="s">
        <v>72</v>
      </c>
      <c r="E34" s="9"/>
      <c r="F34" s="9"/>
      <c r="G34" s="9"/>
      <c r="H34" s="9"/>
      <c r="I34" s="9"/>
      <c r="J34" s="9">
        <v>221</v>
      </c>
    </row>
    <row r="35" spans="1:10" x14ac:dyDescent="0.25">
      <c r="A35" s="3" t="str">
        <f t="shared" si="0"/>
        <v>2021-05-31Wrocław Total</v>
      </c>
      <c r="B35" s="5" t="s">
        <v>62</v>
      </c>
      <c r="C35" s="9" t="s">
        <v>68</v>
      </c>
      <c r="D35" s="9"/>
      <c r="E35" s="9"/>
      <c r="F35" s="9"/>
      <c r="G35" s="9"/>
      <c r="H35" s="9"/>
      <c r="I35" s="9"/>
      <c r="J35" s="9">
        <v>436</v>
      </c>
    </row>
    <row r="36" spans="1:10" x14ac:dyDescent="0.25">
      <c r="A36" s="3" t="str">
        <f t="shared" si="0"/>
        <v>2021-05-31WarszawaSzkoła Podstawowa Jana Pawła IIMaryla RodowiczClass AJacek</v>
      </c>
      <c r="B36" s="4" t="s">
        <v>62</v>
      </c>
      <c r="C36" t="s">
        <v>34</v>
      </c>
      <c r="D36" t="s">
        <v>28</v>
      </c>
      <c r="E36" t="s">
        <v>24</v>
      </c>
      <c r="F36" t="s">
        <v>80</v>
      </c>
      <c r="G36" t="s">
        <v>40</v>
      </c>
      <c r="H36" t="s">
        <v>10</v>
      </c>
      <c r="I36" t="s">
        <v>55</v>
      </c>
      <c r="J36">
        <v>44</v>
      </c>
    </row>
    <row r="37" spans="1:10" x14ac:dyDescent="0.25">
      <c r="A37" s="3" t="str">
        <f t="shared" si="0"/>
        <v>2021-05-31WarszawaSzkoła Podstawowa Jana Pawła IIMaryla RodowiczClass A Total</v>
      </c>
      <c r="B37" s="4" t="s">
        <v>62</v>
      </c>
      <c r="C37" t="s">
        <v>34</v>
      </c>
      <c r="D37" t="s">
        <v>28</v>
      </c>
      <c r="E37" t="s">
        <v>24</v>
      </c>
      <c r="F37" s="9" t="s">
        <v>85</v>
      </c>
      <c r="G37" s="7"/>
      <c r="H37" s="7"/>
      <c r="I37" s="7"/>
      <c r="J37" s="7">
        <v>44</v>
      </c>
    </row>
    <row r="38" spans="1:10" x14ac:dyDescent="0.25">
      <c r="A38" s="3" t="str">
        <f t="shared" si="0"/>
        <v>2021-05-31WarszawaSzkoła Podstawowa Jana Pawła IIMaryla Rodowicz Total</v>
      </c>
      <c r="B38" s="4" t="s">
        <v>62</v>
      </c>
      <c r="C38" t="s">
        <v>34</v>
      </c>
      <c r="D38" t="s">
        <v>28</v>
      </c>
      <c r="E38" s="9" t="s">
        <v>94</v>
      </c>
      <c r="F38" s="9"/>
      <c r="G38" s="7"/>
      <c r="H38" s="7"/>
      <c r="I38" s="7"/>
      <c r="J38" s="7">
        <v>44</v>
      </c>
    </row>
    <row r="39" spans="1:10" x14ac:dyDescent="0.25">
      <c r="A39" s="3" t="str">
        <f t="shared" si="0"/>
        <v>2021-05-31WarszawaSzkoła Podstawowa Jana Pawła IITomasz HajtoClass BTomek</v>
      </c>
      <c r="B39" s="4" t="s">
        <v>62</v>
      </c>
      <c r="C39" t="s">
        <v>34</v>
      </c>
      <c r="D39" t="s">
        <v>28</v>
      </c>
      <c r="E39" t="s">
        <v>29</v>
      </c>
      <c r="F39" t="s">
        <v>81</v>
      </c>
      <c r="G39" t="s">
        <v>39</v>
      </c>
      <c r="H39" s="1" t="s">
        <v>8</v>
      </c>
      <c r="I39" t="s">
        <v>44</v>
      </c>
      <c r="J39">
        <v>36</v>
      </c>
    </row>
    <row r="40" spans="1:10" x14ac:dyDescent="0.25">
      <c r="A40" s="3" t="str">
        <f t="shared" si="0"/>
        <v>2021-05-31WarszawaSzkoła Podstawowa Jana Pawła IITomasz HajtoClass B Total</v>
      </c>
      <c r="B40" s="4" t="s">
        <v>62</v>
      </c>
      <c r="C40" t="s">
        <v>34</v>
      </c>
      <c r="D40" t="s">
        <v>28</v>
      </c>
      <c r="E40" t="s">
        <v>29</v>
      </c>
      <c r="F40" s="9" t="s">
        <v>86</v>
      </c>
      <c r="G40" s="7"/>
      <c r="H40" s="7"/>
      <c r="I40" s="7"/>
      <c r="J40" s="7">
        <v>36</v>
      </c>
    </row>
    <row r="41" spans="1:10" x14ac:dyDescent="0.25">
      <c r="A41" s="3" t="str">
        <f t="shared" si="0"/>
        <v>2021-05-31WarszawaSzkoła Podstawowa Jana Pawła IITomasz HajtoClass CJulia</v>
      </c>
      <c r="B41" s="4" t="s">
        <v>62</v>
      </c>
      <c r="C41" t="s">
        <v>34</v>
      </c>
      <c r="D41" t="s">
        <v>28</v>
      </c>
      <c r="E41" t="s">
        <v>29</v>
      </c>
      <c r="F41" t="s">
        <v>82</v>
      </c>
      <c r="G41" t="s">
        <v>40</v>
      </c>
      <c r="H41" s="1" t="s">
        <v>21</v>
      </c>
      <c r="I41" t="s">
        <v>50</v>
      </c>
      <c r="J41">
        <v>30</v>
      </c>
    </row>
    <row r="42" spans="1:10" x14ac:dyDescent="0.25">
      <c r="A42" s="3" t="str">
        <f t="shared" si="0"/>
        <v>2021-05-31WarszawaSzkoła Podstawowa Jana Pawła IITomasz HajtoClass CAsia</v>
      </c>
      <c r="B42" s="4" t="s">
        <v>62</v>
      </c>
      <c r="C42" t="s">
        <v>34</v>
      </c>
      <c r="D42" t="s">
        <v>28</v>
      </c>
      <c r="E42" t="s">
        <v>29</v>
      </c>
      <c r="F42" t="s">
        <v>82</v>
      </c>
      <c r="G42" t="s">
        <v>40</v>
      </c>
      <c r="H42" t="s">
        <v>6</v>
      </c>
      <c r="I42" t="s">
        <v>46</v>
      </c>
      <c r="J42">
        <v>44</v>
      </c>
    </row>
    <row r="43" spans="1:10" x14ac:dyDescent="0.25">
      <c r="A43" s="3" t="str">
        <f t="shared" si="0"/>
        <v>2021-05-31WarszawaSzkoła Podstawowa Jana Pawła IITomasz HajtoClass CKasia</v>
      </c>
      <c r="B43" s="4" t="s">
        <v>62</v>
      </c>
      <c r="C43" t="s">
        <v>34</v>
      </c>
      <c r="D43" t="s">
        <v>28</v>
      </c>
      <c r="E43" t="s">
        <v>29</v>
      </c>
      <c r="F43" t="s">
        <v>82</v>
      </c>
      <c r="G43" t="s">
        <v>40</v>
      </c>
      <c r="H43" t="s">
        <v>7</v>
      </c>
      <c r="I43" t="s">
        <v>44</v>
      </c>
      <c r="J43">
        <v>31</v>
      </c>
    </row>
    <row r="44" spans="1:10" x14ac:dyDescent="0.25">
      <c r="A44" s="3" t="str">
        <f t="shared" si="0"/>
        <v>2021-05-31WarszawaSzkoła Podstawowa Jana Pawła IITomasz HajtoClass C Total</v>
      </c>
      <c r="B44" s="4" t="s">
        <v>62</v>
      </c>
      <c r="C44" t="s">
        <v>34</v>
      </c>
      <c r="D44" t="s">
        <v>28</v>
      </c>
      <c r="E44" t="s">
        <v>29</v>
      </c>
      <c r="F44" s="9" t="s">
        <v>87</v>
      </c>
      <c r="G44" s="7"/>
      <c r="H44" s="7"/>
      <c r="I44" s="7"/>
      <c r="J44" s="7">
        <v>105</v>
      </c>
    </row>
    <row r="45" spans="1:10" x14ac:dyDescent="0.25">
      <c r="A45" s="3" t="str">
        <f t="shared" si="0"/>
        <v>2021-05-31WarszawaSzkoła Podstawowa Jana Pawła IITomasz Hajto Total</v>
      </c>
      <c r="B45" s="4" t="s">
        <v>62</v>
      </c>
      <c r="C45" t="s">
        <v>34</v>
      </c>
      <c r="D45" t="s">
        <v>28</v>
      </c>
      <c r="E45" s="9" t="s">
        <v>98</v>
      </c>
      <c r="F45" s="9"/>
      <c r="G45" s="7"/>
      <c r="H45" s="7"/>
      <c r="I45" s="7"/>
      <c r="J45" s="7">
        <v>141</v>
      </c>
    </row>
    <row r="46" spans="1:10" x14ac:dyDescent="0.25">
      <c r="A46" s="3" t="str">
        <f t="shared" si="0"/>
        <v>2021-05-31WarszawaSzkoła Podstawowa Jana Pawła IIPan PawełClass DIwona</v>
      </c>
      <c r="B46" s="4" t="s">
        <v>62</v>
      </c>
      <c r="C46" t="s">
        <v>34</v>
      </c>
      <c r="D46" t="s">
        <v>28</v>
      </c>
      <c r="E46" t="s">
        <v>32</v>
      </c>
      <c r="F46" t="s">
        <v>83</v>
      </c>
      <c r="G46" t="s">
        <v>39</v>
      </c>
      <c r="H46" t="s">
        <v>18</v>
      </c>
      <c r="I46" t="s">
        <v>47</v>
      </c>
      <c r="J46">
        <v>32</v>
      </c>
    </row>
    <row r="47" spans="1:10" x14ac:dyDescent="0.25">
      <c r="A47" s="3" t="str">
        <f t="shared" si="0"/>
        <v>2021-05-31WarszawaSzkoła Podstawowa Jana Pawła IIPan PawełClass DJulia</v>
      </c>
      <c r="B47" s="4" t="s">
        <v>62</v>
      </c>
      <c r="C47" t="s">
        <v>34</v>
      </c>
      <c r="D47" t="s">
        <v>28</v>
      </c>
      <c r="E47" t="s">
        <v>32</v>
      </c>
      <c r="F47" t="s">
        <v>83</v>
      </c>
      <c r="G47" t="s">
        <v>39</v>
      </c>
      <c r="H47" t="s">
        <v>21</v>
      </c>
      <c r="I47" t="s">
        <v>55</v>
      </c>
      <c r="J47">
        <v>12</v>
      </c>
    </row>
    <row r="48" spans="1:10" x14ac:dyDescent="0.25">
      <c r="A48" s="3" t="str">
        <f t="shared" si="0"/>
        <v>2021-05-31WarszawaSzkoła Podstawowa Jana Pawła IIPan PawełClass D Total</v>
      </c>
      <c r="B48" s="4" t="s">
        <v>62</v>
      </c>
      <c r="C48" t="s">
        <v>34</v>
      </c>
      <c r="D48" t="s">
        <v>28</v>
      </c>
      <c r="E48" t="s">
        <v>32</v>
      </c>
      <c r="F48" s="9" t="s">
        <v>88</v>
      </c>
      <c r="G48" s="7"/>
      <c r="H48" s="7"/>
      <c r="I48" s="7"/>
      <c r="J48" s="7">
        <v>44</v>
      </c>
    </row>
    <row r="49" spans="1:10" x14ac:dyDescent="0.25">
      <c r="A49" s="3" t="str">
        <f t="shared" si="0"/>
        <v>2021-05-31WarszawaSzkoła Podstawowa Jana Pawła IIPan Paweł Total</v>
      </c>
      <c r="B49" s="4" t="s">
        <v>62</v>
      </c>
      <c r="C49" t="s">
        <v>34</v>
      </c>
      <c r="D49" t="s">
        <v>28</v>
      </c>
      <c r="E49" s="9" t="s">
        <v>99</v>
      </c>
      <c r="F49" s="9"/>
      <c r="G49" s="7"/>
      <c r="H49" s="7"/>
      <c r="I49" s="7"/>
      <c r="J49" s="7">
        <v>44</v>
      </c>
    </row>
    <row r="50" spans="1:10" x14ac:dyDescent="0.25">
      <c r="A50" s="3" t="str">
        <f t="shared" si="0"/>
        <v>2021-05-31WarszawaSzkoła Podstawowa Jana Pawła II Total</v>
      </c>
      <c r="B50" s="4" t="s">
        <v>62</v>
      </c>
      <c r="C50" t="s">
        <v>34</v>
      </c>
      <c r="D50" s="9" t="s">
        <v>73</v>
      </c>
      <c r="E50" s="9"/>
      <c r="F50" s="9"/>
      <c r="G50" s="9"/>
      <c r="H50" s="9"/>
      <c r="I50" s="9"/>
      <c r="J50" s="9">
        <v>229</v>
      </c>
    </row>
    <row r="51" spans="1:10" x14ac:dyDescent="0.25">
      <c r="A51" s="3" t="str">
        <f t="shared" si="0"/>
        <v>2021-05-31Warszawa Total</v>
      </c>
      <c r="B51" s="5" t="s">
        <v>62</v>
      </c>
      <c r="C51" s="9" t="s">
        <v>69</v>
      </c>
      <c r="D51" s="9"/>
      <c r="E51" s="9"/>
      <c r="F51" s="10"/>
      <c r="G51" s="9"/>
      <c r="H51" s="9"/>
      <c r="I51" s="9"/>
      <c r="J51" s="9">
        <v>229</v>
      </c>
    </row>
    <row r="52" spans="1:10" x14ac:dyDescent="0.25">
      <c r="A52" s="3" t="str">
        <f t="shared" si="0"/>
        <v>2021-05-31KrakówUniwersytet JagiellońskiSuper NianiaClass ARozalia</v>
      </c>
      <c r="B52" s="4" t="s">
        <v>62</v>
      </c>
      <c r="C52" t="s">
        <v>35</v>
      </c>
      <c r="D52" t="s">
        <v>36</v>
      </c>
      <c r="E52" s="1" t="s">
        <v>38</v>
      </c>
      <c r="F52" t="s">
        <v>80</v>
      </c>
      <c r="G52" t="s">
        <v>40</v>
      </c>
      <c r="H52" t="s">
        <v>20</v>
      </c>
      <c r="I52" t="s">
        <v>45</v>
      </c>
      <c r="J52">
        <v>44</v>
      </c>
    </row>
    <row r="53" spans="1:10" x14ac:dyDescent="0.25">
      <c r="A53" s="3" t="str">
        <f t="shared" si="0"/>
        <v>2021-05-31KrakówUniwersytet JagiellońskiSuper NianiaClass AMarcin</v>
      </c>
      <c r="B53" s="4" t="s">
        <v>62</v>
      </c>
      <c r="C53" t="s">
        <v>35</v>
      </c>
      <c r="D53" t="s">
        <v>36</v>
      </c>
      <c r="E53" s="1" t="s">
        <v>38</v>
      </c>
      <c r="F53" t="s">
        <v>80</v>
      </c>
      <c r="G53" t="s">
        <v>40</v>
      </c>
      <c r="H53" t="s">
        <v>14</v>
      </c>
      <c r="I53" t="s">
        <v>54</v>
      </c>
      <c r="J53">
        <v>3</v>
      </c>
    </row>
    <row r="54" spans="1:10" x14ac:dyDescent="0.25">
      <c r="A54" s="3" t="str">
        <f t="shared" si="0"/>
        <v>2021-05-31KrakówUniwersytet JagiellońskiSuper NianiaClass AJacek</v>
      </c>
      <c r="B54" s="4" t="s">
        <v>62</v>
      </c>
      <c r="C54" t="s">
        <v>35</v>
      </c>
      <c r="D54" t="s">
        <v>36</v>
      </c>
      <c r="E54" s="1" t="s">
        <v>38</v>
      </c>
      <c r="F54" t="s">
        <v>80</v>
      </c>
      <c r="G54" t="s">
        <v>40</v>
      </c>
      <c r="H54" t="s">
        <v>10</v>
      </c>
      <c r="I54" t="s">
        <v>43</v>
      </c>
      <c r="J54">
        <v>41</v>
      </c>
    </row>
    <row r="55" spans="1:10" x14ac:dyDescent="0.25">
      <c r="A55" s="3" t="str">
        <f t="shared" si="0"/>
        <v>2021-05-31KrakówUniwersytet JagiellońskiSuper NianiaClass ATomek</v>
      </c>
      <c r="B55" s="4" t="s">
        <v>62</v>
      </c>
      <c r="C55" t="s">
        <v>35</v>
      </c>
      <c r="D55" t="s">
        <v>36</v>
      </c>
      <c r="E55" s="1" t="s">
        <v>38</v>
      </c>
      <c r="F55" t="s">
        <v>80</v>
      </c>
      <c r="G55" t="s">
        <v>40</v>
      </c>
      <c r="H55" s="1" t="s">
        <v>8</v>
      </c>
      <c r="I55" t="s">
        <v>55</v>
      </c>
      <c r="J55">
        <v>21</v>
      </c>
    </row>
    <row r="56" spans="1:10" x14ac:dyDescent="0.25">
      <c r="A56" s="3" t="str">
        <f t="shared" si="0"/>
        <v>2021-05-31KrakówUniwersytet JagiellońskiSuper NianiaClass A Total</v>
      </c>
      <c r="B56" s="4" t="s">
        <v>62</v>
      </c>
      <c r="C56" t="s">
        <v>35</v>
      </c>
      <c r="D56" t="s">
        <v>36</v>
      </c>
      <c r="E56" s="1" t="s">
        <v>38</v>
      </c>
      <c r="F56" s="9" t="s">
        <v>85</v>
      </c>
      <c r="G56" s="7"/>
      <c r="H56" s="7"/>
      <c r="I56" s="7"/>
      <c r="J56" s="7">
        <v>109</v>
      </c>
    </row>
    <row r="57" spans="1:10" x14ac:dyDescent="0.25">
      <c r="A57" s="3" t="str">
        <f t="shared" si="0"/>
        <v>2021-05-31KrakówUniwersytet JagiellońskiSuper Niania Total</v>
      </c>
      <c r="B57" s="4" t="s">
        <v>62</v>
      </c>
      <c r="C57" t="s">
        <v>35</v>
      </c>
      <c r="D57" t="s">
        <v>36</v>
      </c>
      <c r="E57" s="9" t="s">
        <v>100</v>
      </c>
      <c r="F57" s="9"/>
      <c r="G57" s="7"/>
      <c r="H57" s="7"/>
      <c r="I57" s="7"/>
      <c r="J57" s="7">
        <v>109</v>
      </c>
    </row>
    <row r="58" spans="1:10" x14ac:dyDescent="0.25">
      <c r="A58" s="3" t="str">
        <f t="shared" si="0"/>
        <v>2021-05-31KrakówUniwersytet Jagielloński Total</v>
      </c>
      <c r="B58" s="4" t="s">
        <v>62</v>
      </c>
      <c r="C58" t="s">
        <v>35</v>
      </c>
      <c r="D58" s="9" t="s">
        <v>74</v>
      </c>
      <c r="E58" s="9"/>
      <c r="F58" s="9"/>
      <c r="G58" s="9"/>
      <c r="H58" s="9"/>
      <c r="I58" s="9"/>
      <c r="J58" s="9">
        <v>109</v>
      </c>
    </row>
    <row r="59" spans="1:10" x14ac:dyDescent="0.25">
      <c r="A59" s="3" t="str">
        <f t="shared" si="0"/>
        <v>2021-05-31KrakówSWPSSuper NianiaClass AJulia</v>
      </c>
      <c r="B59" s="4" t="s">
        <v>62</v>
      </c>
      <c r="C59" t="s">
        <v>35</v>
      </c>
      <c r="D59" s="1" t="s">
        <v>37</v>
      </c>
      <c r="E59" s="1" t="s">
        <v>38</v>
      </c>
      <c r="F59" t="s">
        <v>80</v>
      </c>
      <c r="G59" t="s">
        <v>40</v>
      </c>
      <c r="H59" s="1" t="s">
        <v>21</v>
      </c>
      <c r="I59" t="s">
        <v>50</v>
      </c>
      <c r="J59">
        <v>49</v>
      </c>
    </row>
    <row r="60" spans="1:10" x14ac:dyDescent="0.25">
      <c r="A60" s="3" t="str">
        <f t="shared" si="0"/>
        <v>2021-05-31KrakówSWPSSuper NianiaClass A Total</v>
      </c>
      <c r="B60" s="4" t="s">
        <v>62</v>
      </c>
      <c r="C60" t="s">
        <v>35</v>
      </c>
      <c r="D60" t="s">
        <v>37</v>
      </c>
      <c r="E60" s="1" t="s">
        <v>38</v>
      </c>
      <c r="F60" s="9" t="s">
        <v>85</v>
      </c>
      <c r="G60" s="7"/>
      <c r="H60" s="7"/>
      <c r="I60" s="7"/>
      <c r="J60" s="7">
        <v>49</v>
      </c>
    </row>
    <row r="61" spans="1:10" x14ac:dyDescent="0.25">
      <c r="A61" s="3" t="str">
        <f t="shared" si="0"/>
        <v>2021-05-31KrakówSWPSSuper Niania Total</v>
      </c>
      <c r="B61" s="4" t="s">
        <v>62</v>
      </c>
      <c r="C61" t="s">
        <v>35</v>
      </c>
      <c r="D61" t="s">
        <v>37</v>
      </c>
      <c r="E61" s="9" t="s">
        <v>100</v>
      </c>
      <c r="F61" s="9"/>
      <c r="G61" s="7"/>
      <c r="H61" s="7"/>
      <c r="I61" s="7"/>
      <c r="J61" s="7">
        <v>49</v>
      </c>
    </row>
    <row r="62" spans="1:10" x14ac:dyDescent="0.25">
      <c r="A62" s="3" t="str">
        <f t="shared" si="0"/>
        <v>2021-05-31KrakówSWPS Total</v>
      </c>
      <c r="B62" s="4" t="s">
        <v>62</v>
      </c>
      <c r="C62" t="s">
        <v>35</v>
      </c>
      <c r="D62" s="9" t="s">
        <v>91</v>
      </c>
      <c r="E62" s="9"/>
      <c r="F62" s="9"/>
      <c r="G62" s="9"/>
      <c r="H62" s="9"/>
      <c r="I62" s="9"/>
      <c r="J62" s="9">
        <v>49</v>
      </c>
    </row>
    <row r="63" spans="1:10" x14ac:dyDescent="0.25">
      <c r="A63" s="3" t="str">
        <f t="shared" si="0"/>
        <v>2021-05-31Kraków Total</v>
      </c>
      <c r="B63" s="4" t="s">
        <v>62</v>
      </c>
      <c r="C63" s="9" t="s">
        <v>70</v>
      </c>
      <c r="D63" s="10"/>
      <c r="E63" s="10"/>
      <c r="F63" s="10"/>
      <c r="G63" s="9"/>
      <c r="H63" s="10"/>
      <c r="I63" s="9"/>
      <c r="J63" s="9">
        <v>158</v>
      </c>
    </row>
    <row r="64" spans="1:10" x14ac:dyDescent="0.25">
      <c r="A64" s="3" t="str">
        <f t="shared" si="0"/>
        <v>2021-05-31PoznańSzkoła DoznańJan PawełClass AKasia</v>
      </c>
      <c r="B64" s="4" t="s">
        <v>62</v>
      </c>
      <c r="C64" t="s">
        <v>57</v>
      </c>
      <c r="D64" t="s">
        <v>58</v>
      </c>
      <c r="E64" s="2" t="s">
        <v>59</v>
      </c>
      <c r="F64" t="s">
        <v>80</v>
      </c>
      <c r="G64" t="s">
        <v>40</v>
      </c>
      <c r="H64" t="s">
        <v>7</v>
      </c>
      <c r="I64" t="s">
        <v>44</v>
      </c>
      <c r="J64">
        <v>16</v>
      </c>
    </row>
    <row r="65" spans="1:10" x14ac:dyDescent="0.25">
      <c r="A65" s="3" t="str">
        <f t="shared" si="0"/>
        <v>2021-05-31PoznańSzkoła DoznańJan PawełClass A Total</v>
      </c>
      <c r="B65" s="4" t="s">
        <v>62</v>
      </c>
      <c r="C65" t="s">
        <v>57</v>
      </c>
      <c r="D65" t="s">
        <v>58</v>
      </c>
      <c r="E65" s="2" t="s">
        <v>59</v>
      </c>
      <c r="F65" s="9" t="s">
        <v>85</v>
      </c>
      <c r="G65" s="7"/>
      <c r="H65" s="7"/>
      <c r="I65" s="7"/>
      <c r="J65" s="7">
        <v>16</v>
      </c>
    </row>
    <row r="66" spans="1:10" x14ac:dyDescent="0.25">
      <c r="A66" s="3" t="str">
        <f t="shared" si="0"/>
        <v>2021-05-31PoznańSzkoła DoznańJan Paweł Total</v>
      </c>
      <c r="B66" s="4" t="s">
        <v>62</v>
      </c>
      <c r="C66" t="s">
        <v>57</v>
      </c>
      <c r="D66" t="s">
        <v>58</v>
      </c>
      <c r="E66" s="9" t="s">
        <v>101</v>
      </c>
      <c r="F66" s="9"/>
      <c r="G66" s="7"/>
      <c r="H66" s="7"/>
      <c r="I66" s="7"/>
      <c r="J66" s="7">
        <v>16</v>
      </c>
    </row>
    <row r="67" spans="1:10" x14ac:dyDescent="0.25">
      <c r="A67" s="3" t="str">
        <f t="shared" si="0"/>
        <v>2021-05-31PoznańSzkoła DoznańDonald TuskClass BTosia</v>
      </c>
      <c r="B67" s="4" t="s">
        <v>62</v>
      </c>
      <c r="C67" t="s">
        <v>57</v>
      </c>
      <c r="D67" t="s">
        <v>58</v>
      </c>
      <c r="E67" s="2" t="s">
        <v>60</v>
      </c>
      <c r="F67" t="s">
        <v>81</v>
      </c>
      <c r="G67" t="s">
        <v>40</v>
      </c>
      <c r="H67" t="s">
        <v>9</v>
      </c>
      <c r="I67" t="s">
        <v>55</v>
      </c>
      <c r="J67">
        <v>49</v>
      </c>
    </row>
    <row r="68" spans="1:10" x14ac:dyDescent="0.25">
      <c r="A68" s="3" t="str">
        <f t="shared" si="0"/>
        <v>2021-05-31PoznańSzkoła DoznańDonald TuskClass BIwona</v>
      </c>
      <c r="B68" s="4" t="s">
        <v>62</v>
      </c>
      <c r="C68" t="s">
        <v>57</v>
      </c>
      <c r="D68" t="s">
        <v>58</v>
      </c>
      <c r="E68" s="2" t="s">
        <v>60</v>
      </c>
      <c r="F68" t="s">
        <v>81</v>
      </c>
      <c r="G68" t="s">
        <v>40</v>
      </c>
      <c r="H68" t="s">
        <v>18</v>
      </c>
      <c r="I68" t="s">
        <v>55</v>
      </c>
      <c r="J68">
        <v>47</v>
      </c>
    </row>
    <row r="69" spans="1:10" x14ac:dyDescent="0.25">
      <c r="A69" s="3" t="str">
        <f t="shared" si="0"/>
        <v>2021-05-31PoznańSzkoła DoznańDonald TuskClass B Total</v>
      </c>
      <c r="B69" s="4" t="s">
        <v>62</v>
      </c>
      <c r="C69" t="s">
        <v>57</v>
      </c>
      <c r="D69" t="s">
        <v>58</v>
      </c>
      <c r="E69" s="2" t="s">
        <v>60</v>
      </c>
      <c r="F69" s="9" t="s">
        <v>86</v>
      </c>
      <c r="G69" s="7"/>
      <c r="H69" s="7"/>
      <c r="I69" s="7"/>
      <c r="J69" s="7">
        <v>96</v>
      </c>
    </row>
    <row r="70" spans="1:10" x14ac:dyDescent="0.25">
      <c r="A70" s="3" t="str">
        <f t="shared" si="0"/>
        <v>2021-05-31PoznańSzkoła DoznańDonald TuskClass CCelina</v>
      </c>
      <c r="B70" s="4" t="s">
        <v>62</v>
      </c>
      <c r="C70" t="s">
        <v>57</v>
      </c>
      <c r="D70" t="s">
        <v>58</v>
      </c>
      <c r="E70" s="2" t="s">
        <v>60</v>
      </c>
      <c r="F70" t="s">
        <v>82</v>
      </c>
      <c r="G70" t="s">
        <v>40</v>
      </c>
      <c r="H70" t="s">
        <v>11</v>
      </c>
      <c r="I70" t="s">
        <v>55</v>
      </c>
      <c r="J70">
        <v>3</v>
      </c>
    </row>
    <row r="71" spans="1:10" x14ac:dyDescent="0.25">
      <c r="A71" s="3" t="str">
        <f t="shared" si="0"/>
        <v>2021-05-31PoznańSzkoła DoznańDonald TuskClass CCelina</v>
      </c>
      <c r="B71" s="4" t="s">
        <v>62</v>
      </c>
      <c r="C71" t="s">
        <v>57</v>
      </c>
      <c r="D71" t="s">
        <v>58</v>
      </c>
      <c r="E71" s="2" t="s">
        <v>60</v>
      </c>
      <c r="F71" t="s">
        <v>82</v>
      </c>
      <c r="G71" t="s">
        <v>40</v>
      </c>
      <c r="H71" t="s">
        <v>11</v>
      </c>
      <c r="I71" t="s">
        <v>55</v>
      </c>
      <c r="J71">
        <v>11</v>
      </c>
    </row>
    <row r="72" spans="1:10" x14ac:dyDescent="0.25">
      <c r="A72" s="3" t="str">
        <f t="shared" si="0"/>
        <v>2021-05-31PoznańSzkoła DoznańDonald TuskClass C Total</v>
      </c>
      <c r="B72" s="4" t="s">
        <v>62</v>
      </c>
      <c r="C72" t="s">
        <v>57</v>
      </c>
      <c r="D72" t="s">
        <v>58</v>
      </c>
      <c r="E72" s="2" t="s">
        <v>60</v>
      </c>
      <c r="F72" s="9" t="s">
        <v>87</v>
      </c>
      <c r="G72" s="7"/>
      <c r="H72" s="7"/>
      <c r="I72" s="7"/>
      <c r="J72" s="7">
        <v>14</v>
      </c>
    </row>
    <row r="73" spans="1:10" x14ac:dyDescent="0.25">
      <c r="A73" s="3" t="str">
        <f t="shared" si="0"/>
        <v>2021-05-31PoznańSzkoła DoznańDonald Tusk Total</v>
      </c>
      <c r="B73" s="4" t="s">
        <v>62</v>
      </c>
      <c r="C73" t="s">
        <v>57</v>
      </c>
      <c r="D73" t="s">
        <v>58</v>
      </c>
      <c r="E73" s="9" t="s">
        <v>102</v>
      </c>
      <c r="F73" s="9"/>
      <c r="G73" s="7"/>
      <c r="H73" s="7"/>
      <c r="I73" s="7"/>
      <c r="J73" s="7">
        <v>110</v>
      </c>
    </row>
    <row r="74" spans="1:10" x14ac:dyDescent="0.25">
      <c r="A74" s="3" t="str">
        <f t="shared" si="0"/>
        <v>2021-05-31PoznańSzkoła Doznań Total</v>
      </c>
      <c r="B74" s="4" t="s">
        <v>62</v>
      </c>
      <c r="C74" s="4" t="s">
        <v>57</v>
      </c>
      <c r="D74" s="9" t="s">
        <v>75</v>
      </c>
      <c r="E74" s="9"/>
      <c r="F74" s="9"/>
      <c r="G74" s="9"/>
      <c r="H74" s="9"/>
      <c r="I74" s="9"/>
      <c r="J74" s="9">
        <v>126</v>
      </c>
    </row>
    <row r="75" spans="1:10" x14ac:dyDescent="0.25">
      <c r="A75" s="3" t="str">
        <f t="shared" si="0"/>
        <v>2021-05-31Poznań Total</v>
      </c>
      <c r="B75" s="4" t="s">
        <v>62</v>
      </c>
      <c r="C75" s="9" t="s">
        <v>71</v>
      </c>
      <c r="D75" s="7"/>
      <c r="E75" s="8"/>
      <c r="F75" s="8"/>
      <c r="G75" s="7"/>
      <c r="H75" s="7"/>
      <c r="I75" s="7"/>
      <c r="J75" s="7">
        <v>126</v>
      </c>
    </row>
    <row r="76" spans="1:10" x14ac:dyDescent="0.25">
      <c r="A76" s="3" t="str">
        <f t="shared" si="0"/>
        <v>2021-05-31 Total</v>
      </c>
      <c r="B76" s="6" t="s">
        <v>63</v>
      </c>
      <c r="C76" s="7"/>
      <c r="D76" s="8"/>
      <c r="E76" s="8"/>
      <c r="F76" s="8"/>
      <c r="G76" s="7"/>
      <c r="H76" s="8"/>
      <c r="I76" s="7"/>
      <c r="J76" s="7">
        <f>J63+J51+J35+J75</f>
        <v>949</v>
      </c>
    </row>
    <row r="77" spans="1:10" x14ac:dyDescent="0.25">
      <c r="A77" s="3" t="str">
        <f t="shared" si="0"/>
        <v>2019-05-31WrocławTechnikum nr 5Pan KleksClass AWłodek</v>
      </c>
      <c r="B77" s="4" t="s">
        <v>64</v>
      </c>
      <c r="C77" t="s">
        <v>33</v>
      </c>
      <c r="D77" t="s">
        <v>22</v>
      </c>
      <c r="E77" t="s">
        <v>30</v>
      </c>
      <c r="F77" t="s">
        <v>80</v>
      </c>
      <c r="G77" t="s">
        <v>40</v>
      </c>
      <c r="H77" s="1" t="s">
        <v>12</v>
      </c>
      <c r="I77" t="s">
        <v>45</v>
      </c>
      <c r="J77">
        <v>24</v>
      </c>
    </row>
    <row r="78" spans="1:10" x14ac:dyDescent="0.25">
      <c r="A78" s="3" t="str">
        <f t="shared" si="0"/>
        <v>2019-05-31WrocławTechnikum nr 5Pan KleksClass AJustyna</v>
      </c>
      <c r="B78" s="4" t="s">
        <v>64</v>
      </c>
      <c r="C78" t="s">
        <v>33</v>
      </c>
      <c r="D78" t="s">
        <v>22</v>
      </c>
      <c r="E78" t="s">
        <v>30</v>
      </c>
      <c r="F78" t="s">
        <v>80</v>
      </c>
      <c r="G78" t="s">
        <v>40</v>
      </c>
      <c r="H78" s="1" t="s">
        <v>19</v>
      </c>
      <c r="I78" t="s">
        <v>44</v>
      </c>
      <c r="J78">
        <v>3</v>
      </c>
    </row>
    <row r="79" spans="1:10" x14ac:dyDescent="0.25">
      <c r="A79" s="3" t="str">
        <f t="shared" si="0"/>
        <v>2019-05-31WrocławTechnikum nr 5Pan KleksClass AMarcin</v>
      </c>
      <c r="B79" s="4" t="s">
        <v>64</v>
      </c>
      <c r="C79" t="s">
        <v>33</v>
      </c>
      <c r="D79" t="s">
        <v>22</v>
      </c>
      <c r="E79" t="s">
        <v>30</v>
      </c>
      <c r="F79" t="s">
        <v>80</v>
      </c>
      <c r="G79" t="s">
        <v>40</v>
      </c>
      <c r="H79" t="s">
        <v>14</v>
      </c>
      <c r="I79" t="s">
        <v>44</v>
      </c>
      <c r="J79">
        <v>32</v>
      </c>
    </row>
    <row r="80" spans="1:10" x14ac:dyDescent="0.25">
      <c r="A80" s="3" t="str">
        <f t="shared" si="0"/>
        <v>2019-05-31WrocławTechnikum nr 5Pan KleksClass AMaciek</v>
      </c>
      <c r="B80" s="4" t="s">
        <v>64</v>
      </c>
      <c r="C80" t="s">
        <v>33</v>
      </c>
      <c r="D80" t="s">
        <v>22</v>
      </c>
      <c r="E80" t="s">
        <v>30</v>
      </c>
      <c r="F80" t="s">
        <v>80</v>
      </c>
      <c r="G80" t="s">
        <v>40</v>
      </c>
      <c r="H80" t="s">
        <v>17</v>
      </c>
      <c r="I80" t="s">
        <v>48</v>
      </c>
      <c r="J80">
        <v>26</v>
      </c>
    </row>
    <row r="81" spans="1:10" x14ac:dyDescent="0.25">
      <c r="A81" s="3" t="str">
        <f t="shared" si="0"/>
        <v>2019-05-31WrocławTechnikum nr 5Pan KleksClass A Total</v>
      </c>
      <c r="B81" s="4" t="s">
        <v>64</v>
      </c>
      <c r="C81" t="s">
        <v>33</v>
      </c>
      <c r="D81" t="s">
        <v>22</v>
      </c>
      <c r="E81" t="s">
        <v>30</v>
      </c>
      <c r="F81" s="9" t="s">
        <v>85</v>
      </c>
      <c r="G81" s="7"/>
      <c r="H81" s="7"/>
      <c r="I81" s="7"/>
      <c r="J81" s="7">
        <v>85</v>
      </c>
    </row>
    <row r="82" spans="1:10" x14ac:dyDescent="0.25">
      <c r="A82" s="3" t="str">
        <f t="shared" si="0"/>
        <v>2019-05-31WrocławTechnikum nr 5Pan Kleks Total</v>
      </c>
      <c r="B82" s="4" t="s">
        <v>64</v>
      </c>
      <c r="C82" t="s">
        <v>33</v>
      </c>
      <c r="D82" t="s">
        <v>22</v>
      </c>
      <c r="E82" s="9" t="s">
        <v>92</v>
      </c>
      <c r="F82" s="9"/>
      <c r="G82" s="7"/>
      <c r="H82" s="7"/>
      <c r="I82" s="7"/>
      <c r="J82" s="7">
        <v>85</v>
      </c>
    </row>
    <row r="83" spans="1:10" x14ac:dyDescent="0.25">
      <c r="A83" s="3" t="str">
        <f t="shared" ref="A83:A135" si="2">TEXT(B83,"yyyy-mm-dd")&amp;C83&amp;D83&amp;E83&amp;F83&amp;H83</f>
        <v>2019-05-31WrocławTechnikum nr 5Mr WhoClass BMichał</v>
      </c>
      <c r="B83" s="4" t="s">
        <v>64</v>
      </c>
      <c r="C83" t="s">
        <v>33</v>
      </c>
      <c r="D83" t="s">
        <v>22</v>
      </c>
      <c r="E83" t="s">
        <v>31</v>
      </c>
      <c r="F83" t="s">
        <v>81</v>
      </c>
      <c r="G83" t="s">
        <v>39</v>
      </c>
      <c r="H83" t="s">
        <v>13</v>
      </c>
      <c r="I83" t="s">
        <v>45</v>
      </c>
      <c r="J83">
        <v>25</v>
      </c>
    </row>
    <row r="84" spans="1:10" x14ac:dyDescent="0.25">
      <c r="A84" s="3" t="str">
        <f t="shared" si="2"/>
        <v>2019-05-31WrocławTechnikum nr 5Mr WhoClass B Total</v>
      </c>
      <c r="B84" s="4" t="s">
        <v>64</v>
      </c>
      <c r="C84" t="s">
        <v>33</v>
      </c>
      <c r="D84" t="s">
        <v>22</v>
      </c>
      <c r="E84" t="s">
        <v>31</v>
      </c>
      <c r="F84" s="9" t="s">
        <v>86</v>
      </c>
      <c r="G84" s="7"/>
      <c r="H84" s="7"/>
      <c r="I84" s="7"/>
      <c r="J84" s="7">
        <v>25</v>
      </c>
    </row>
    <row r="85" spans="1:10" x14ac:dyDescent="0.25">
      <c r="A85" s="3" t="str">
        <f t="shared" si="2"/>
        <v>2019-05-31WrocławTechnikum nr 5Mr Who Total</v>
      </c>
      <c r="B85" s="4" t="s">
        <v>64</v>
      </c>
      <c r="C85" t="s">
        <v>33</v>
      </c>
      <c r="D85" t="s">
        <v>22</v>
      </c>
      <c r="E85" s="9" t="s">
        <v>93</v>
      </c>
      <c r="F85" s="9"/>
      <c r="G85" s="7"/>
      <c r="H85" s="7"/>
      <c r="I85" s="7"/>
      <c r="J85" s="7">
        <v>25</v>
      </c>
    </row>
    <row r="86" spans="1:10" x14ac:dyDescent="0.25">
      <c r="A86" s="3" t="str">
        <f t="shared" si="2"/>
        <v>2019-05-31WrocławTechnikum nr 5 Total</v>
      </c>
      <c r="B86" s="4" t="s">
        <v>64</v>
      </c>
      <c r="C86" s="4" t="s">
        <v>33</v>
      </c>
      <c r="D86" s="9" t="s">
        <v>61</v>
      </c>
      <c r="E86" s="9"/>
      <c r="F86" s="9"/>
      <c r="G86" s="9"/>
      <c r="H86" s="9"/>
      <c r="I86" s="9"/>
      <c r="J86" s="9">
        <v>110</v>
      </c>
    </row>
    <row r="87" spans="1:10" x14ac:dyDescent="0.25">
      <c r="A87" s="3" t="str">
        <f t="shared" si="2"/>
        <v>2019-05-31WrocławLiceum im. Maryli RodowiczMaryla RodowiczClass AAsia</v>
      </c>
      <c r="B87" s="4" t="s">
        <v>64</v>
      </c>
      <c r="C87" t="s">
        <v>33</v>
      </c>
      <c r="D87" t="s">
        <v>23</v>
      </c>
      <c r="E87" t="s">
        <v>24</v>
      </c>
      <c r="F87" t="s">
        <v>80</v>
      </c>
      <c r="G87" t="s">
        <v>40</v>
      </c>
      <c r="H87" t="s">
        <v>6</v>
      </c>
      <c r="I87" t="s">
        <v>44</v>
      </c>
      <c r="J87">
        <v>35</v>
      </c>
    </row>
    <row r="88" spans="1:10" x14ac:dyDescent="0.25">
      <c r="A88" s="3" t="str">
        <f t="shared" si="2"/>
        <v>2019-05-31WrocławLiceum im. Maryli RodowiczMaryla RodowiczClass ATosia</v>
      </c>
      <c r="B88" s="4" t="s">
        <v>64</v>
      </c>
      <c r="C88" t="s">
        <v>33</v>
      </c>
      <c r="D88" t="s">
        <v>23</v>
      </c>
      <c r="E88" t="s">
        <v>24</v>
      </c>
      <c r="F88" t="s">
        <v>80</v>
      </c>
      <c r="G88" t="s">
        <v>40</v>
      </c>
      <c r="H88" t="s">
        <v>9</v>
      </c>
      <c r="I88" t="s">
        <v>46</v>
      </c>
      <c r="J88">
        <v>23</v>
      </c>
    </row>
    <row r="89" spans="1:10" x14ac:dyDescent="0.25">
      <c r="A89" s="3" t="str">
        <f t="shared" si="2"/>
        <v>2019-05-31WrocławLiceum im. Maryli RodowiczMaryla RodowiczClass AEwa</v>
      </c>
      <c r="B89" s="4" t="s">
        <v>64</v>
      </c>
      <c r="C89" t="s">
        <v>33</v>
      </c>
      <c r="D89" t="s">
        <v>23</v>
      </c>
      <c r="E89" t="s">
        <v>24</v>
      </c>
      <c r="F89" t="s">
        <v>80</v>
      </c>
      <c r="G89" t="s">
        <v>40</v>
      </c>
      <c r="H89" t="s">
        <v>16</v>
      </c>
      <c r="I89" t="s">
        <v>45</v>
      </c>
      <c r="J89">
        <v>26</v>
      </c>
    </row>
    <row r="90" spans="1:10" x14ac:dyDescent="0.25">
      <c r="A90" s="3" t="str">
        <f t="shared" si="2"/>
        <v>2019-05-31WrocławLiceum im. Maryli RodowiczMaryla RodowiczClass AMichał</v>
      </c>
      <c r="B90" s="4" t="s">
        <v>64</v>
      </c>
      <c r="C90" t="s">
        <v>33</v>
      </c>
      <c r="D90" t="s">
        <v>23</v>
      </c>
      <c r="E90" t="s">
        <v>24</v>
      </c>
      <c r="F90" t="s">
        <v>80</v>
      </c>
      <c r="G90" t="s">
        <v>40</v>
      </c>
      <c r="H90" t="s">
        <v>13</v>
      </c>
      <c r="I90" t="s">
        <v>55</v>
      </c>
      <c r="J90">
        <v>11</v>
      </c>
    </row>
    <row r="91" spans="1:10" x14ac:dyDescent="0.25">
      <c r="A91" s="3" t="str">
        <f t="shared" si="2"/>
        <v>2019-05-31WrocławLiceum im. Maryli RodowiczMaryla RodowiczClass A Total</v>
      </c>
      <c r="B91" s="4" t="s">
        <v>64</v>
      </c>
      <c r="C91" t="s">
        <v>33</v>
      </c>
      <c r="D91" t="s">
        <v>23</v>
      </c>
      <c r="E91" t="s">
        <v>24</v>
      </c>
      <c r="F91" s="9" t="s">
        <v>85</v>
      </c>
      <c r="G91" s="7"/>
      <c r="H91" s="7"/>
      <c r="I91" s="7"/>
      <c r="J91" s="7">
        <v>95</v>
      </c>
    </row>
    <row r="92" spans="1:10" x14ac:dyDescent="0.25">
      <c r="A92" s="3" t="str">
        <f t="shared" si="2"/>
        <v>2019-05-31WrocławLiceum im. Maryli RodowiczMaryla RodowiczClass BMarcin</v>
      </c>
      <c r="B92" s="4" t="s">
        <v>64</v>
      </c>
      <c r="C92" t="s">
        <v>33</v>
      </c>
      <c r="D92" t="s">
        <v>23</v>
      </c>
      <c r="E92" t="s">
        <v>24</v>
      </c>
      <c r="F92" t="s">
        <v>81</v>
      </c>
      <c r="G92" t="s">
        <v>39</v>
      </c>
      <c r="H92" t="s">
        <v>14</v>
      </c>
      <c r="I92" t="s">
        <v>53</v>
      </c>
      <c r="J92">
        <v>11</v>
      </c>
    </row>
    <row r="93" spans="1:10" x14ac:dyDescent="0.25">
      <c r="A93" s="3" t="str">
        <f t="shared" si="2"/>
        <v>2019-05-31WrocławLiceum im. Maryli RodowiczMaryla RodowiczClass BEwa</v>
      </c>
      <c r="B93" s="4" t="s">
        <v>64</v>
      </c>
      <c r="C93" t="s">
        <v>33</v>
      </c>
      <c r="D93" t="s">
        <v>23</v>
      </c>
      <c r="E93" t="s">
        <v>24</v>
      </c>
      <c r="F93" t="s">
        <v>81</v>
      </c>
      <c r="G93" t="s">
        <v>39</v>
      </c>
      <c r="H93" t="s">
        <v>16</v>
      </c>
      <c r="I93" t="s">
        <v>50</v>
      </c>
      <c r="J93">
        <v>18</v>
      </c>
    </row>
    <row r="94" spans="1:10" x14ac:dyDescent="0.25">
      <c r="A94" s="3" t="str">
        <f t="shared" si="2"/>
        <v>2019-05-31WrocławLiceum im. Maryli RodowiczMaryla RodowiczClass B Total</v>
      </c>
      <c r="B94" s="4" t="s">
        <v>64</v>
      </c>
      <c r="C94" t="s">
        <v>33</v>
      </c>
      <c r="D94" t="s">
        <v>23</v>
      </c>
      <c r="E94" t="s">
        <v>24</v>
      </c>
      <c r="F94" s="9" t="s">
        <v>86</v>
      </c>
      <c r="G94" s="7"/>
      <c r="H94" s="7"/>
      <c r="I94" s="7"/>
      <c r="J94" s="7">
        <v>29</v>
      </c>
    </row>
    <row r="95" spans="1:10" x14ac:dyDescent="0.25">
      <c r="A95" s="3" t="str">
        <f t="shared" si="2"/>
        <v>2019-05-31WrocławLiceum im. Maryli RodowiczMaryla Rodowicz Total</v>
      </c>
      <c r="B95" s="4" t="s">
        <v>64</v>
      </c>
      <c r="C95" t="s">
        <v>33</v>
      </c>
      <c r="D95" t="s">
        <v>23</v>
      </c>
      <c r="E95" s="9" t="s">
        <v>94</v>
      </c>
      <c r="F95" s="9"/>
      <c r="G95" s="7"/>
      <c r="H95" s="7"/>
      <c r="I95" s="7"/>
      <c r="J95" s="7">
        <v>124</v>
      </c>
    </row>
    <row r="96" spans="1:10" x14ac:dyDescent="0.25">
      <c r="A96" s="3" t="str">
        <f t="shared" si="2"/>
        <v>2019-05-31WrocławLiceum im. Maryli Rodowicz Total</v>
      </c>
      <c r="B96" s="4" t="s">
        <v>64</v>
      </c>
      <c r="C96" s="4" t="s">
        <v>33</v>
      </c>
      <c r="D96" s="9" t="s">
        <v>72</v>
      </c>
      <c r="E96" s="9"/>
      <c r="F96" s="9"/>
      <c r="G96" s="9"/>
      <c r="H96" s="9"/>
      <c r="I96" s="9"/>
      <c r="J96" s="9">
        <v>124</v>
      </c>
    </row>
    <row r="97" spans="1:10" x14ac:dyDescent="0.25">
      <c r="A97" s="3" t="str">
        <f t="shared" si="2"/>
        <v>2019-05-31Wrocław Total</v>
      </c>
      <c r="B97" s="4" t="s">
        <v>64</v>
      </c>
      <c r="C97" s="9" t="s">
        <v>68</v>
      </c>
      <c r="D97" s="7"/>
      <c r="E97" s="7"/>
      <c r="F97" s="7"/>
      <c r="G97" s="7"/>
      <c r="H97" s="7"/>
      <c r="I97" s="7"/>
      <c r="J97" s="7">
        <v>234</v>
      </c>
    </row>
    <row r="98" spans="1:10" x14ac:dyDescent="0.25">
      <c r="A98" s="3" t="str">
        <f t="shared" si="2"/>
        <v>2019-05-31WarszawaSzkoła Podstawowa Jana Pawła IIMaryla RodowiczClass AJustyna</v>
      </c>
      <c r="B98" s="4" t="s">
        <v>64</v>
      </c>
      <c r="C98" t="s">
        <v>34</v>
      </c>
      <c r="D98" t="s">
        <v>28</v>
      </c>
      <c r="E98" t="s">
        <v>24</v>
      </c>
      <c r="F98" t="s">
        <v>80</v>
      </c>
      <c r="G98" t="s">
        <v>41</v>
      </c>
      <c r="H98" t="s">
        <v>19</v>
      </c>
      <c r="I98" t="s">
        <v>52</v>
      </c>
      <c r="J98">
        <v>37</v>
      </c>
    </row>
    <row r="99" spans="1:10" x14ac:dyDescent="0.25">
      <c r="A99" s="3" t="str">
        <f t="shared" si="2"/>
        <v>2019-05-31WarszawaSzkoła Podstawowa Jana Pawła IIMaryla RodowiczClass A Total</v>
      </c>
      <c r="B99" s="4" t="s">
        <v>64</v>
      </c>
      <c r="C99" t="s">
        <v>34</v>
      </c>
      <c r="D99" t="s">
        <v>28</v>
      </c>
      <c r="E99" t="s">
        <v>24</v>
      </c>
      <c r="F99" s="9" t="s">
        <v>85</v>
      </c>
      <c r="G99" s="7"/>
      <c r="H99" s="7"/>
      <c r="I99" s="7"/>
      <c r="J99" s="7">
        <v>37</v>
      </c>
    </row>
    <row r="100" spans="1:10" x14ac:dyDescent="0.25">
      <c r="A100" s="3" t="str">
        <f t="shared" si="2"/>
        <v>2019-05-31WarszawaSzkoła Podstawowa Jana Pawła IIMaryla Rodowicz Total</v>
      </c>
      <c r="B100" s="4" t="s">
        <v>64</v>
      </c>
      <c r="C100" t="s">
        <v>34</v>
      </c>
      <c r="D100" t="s">
        <v>28</v>
      </c>
      <c r="E100" s="9" t="s">
        <v>94</v>
      </c>
      <c r="F100" s="9"/>
      <c r="G100" s="7"/>
      <c r="H100" s="7"/>
      <c r="I100" s="7"/>
      <c r="J100" s="7">
        <v>37</v>
      </c>
    </row>
    <row r="101" spans="1:10" x14ac:dyDescent="0.25">
      <c r="A101" s="3" t="str">
        <f t="shared" si="2"/>
        <v>2019-05-31WarszawaSzkoła Podstawowa Jana Pawła IIHubert UrbańskiClass BMichał</v>
      </c>
      <c r="B101" s="4" t="s">
        <v>64</v>
      </c>
      <c r="C101" t="s">
        <v>34</v>
      </c>
      <c r="D101" t="s">
        <v>28</v>
      </c>
      <c r="E101" t="s">
        <v>27</v>
      </c>
      <c r="F101" t="s">
        <v>81</v>
      </c>
      <c r="G101" t="s">
        <v>41</v>
      </c>
      <c r="H101" t="s">
        <v>13</v>
      </c>
      <c r="I101" t="s">
        <v>55</v>
      </c>
      <c r="J101">
        <v>14</v>
      </c>
    </row>
    <row r="102" spans="1:10" x14ac:dyDescent="0.25">
      <c r="A102" s="3" t="str">
        <f t="shared" si="2"/>
        <v>2019-05-31WarszawaSzkoła Podstawowa Jana Pawła IIHubert UrbańskiClass B Total</v>
      </c>
      <c r="B102" s="4" t="s">
        <v>64</v>
      </c>
      <c r="C102" t="s">
        <v>34</v>
      </c>
      <c r="D102" t="s">
        <v>28</v>
      </c>
      <c r="E102" t="s">
        <v>27</v>
      </c>
      <c r="F102" s="9" t="s">
        <v>86</v>
      </c>
      <c r="G102" s="7"/>
      <c r="H102" s="7"/>
      <c r="I102" s="7"/>
      <c r="J102" s="7">
        <v>14</v>
      </c>
    </row>
    <row r="103" spans="1:10" x14ac:dyDescent="0.25">
      <c r="A103" s="3" t="str">
        <f t="shared" si="2"/>
        <v>2019-05-31WarszawaSzkoła Podstawowa Jana Pawła IIHubert Urbański Total</v>
      </c>
      <c r="B103" s="4" t="s">
        <v>64</v>
      </c>
      <c r="C103" t="s">
        <v>34</v>
      </c>
      <c r="D103" t="s">
        <v>28</v>
      </c>
      <c r="E103" s="9" t="s">
        <v>97</v>
      </c>
      <c r="F103" s="9"/>
      <c r="G103" s="7"/>
      <c r="H103" s="7"/>
      <c r="I103" s="7"/>
      <c r="J103" s="7">
        <v>14</v>
      </c>
    </row>
    <row r="104" spans="1:10" x14ac:dyDescent="0.25">
      <c r="A104" s="3" t="str">
        <f t="shared" si="2"/>
        <v>2019-05-31WarszawaSzkoła Podstawowa Jana Pawła IITomasz HajtoClass CKasia</v>
      </c>
      <c r="B104" s="4" t="s">
        <v>64</v>
      </c>
      <c r="C104" t="s">
        <v>34</v>
      </c>
      <c r="D104" t="s">
        <v>28</v>
      </c>
      <c r="E104" t="s">
        <v>29</v>
      </c>
      <c r="F104" t="s">
        <v>82</v>
      </c>
      <c r="G104" t="s">
        <v>41</v>
      </c>
      <c r="H104" t="s">
        <v>7</v>
      </c>
      <c r="I104" t="s">
        <v>49</v>
      </c>
      <c r="J104">
        <v>0</v>
      </c>
    </row>
    <row r="105" spans="1:10" x14ac:dyDescent="0.25">
      <c r="A105" s="3" t="str">
        <f t="shared" si="2"/>
        <v>2019-05-31WarszawaSzkoła Podstawowa Jana Pawła IITomasz HajtoClass CTosia</v>
      </c>
      <c r="B105" s="4" t="s">
        <v>64</v>
      </c>
      <c r="C105" t="s">
        <v>34</v>
      </c>
      <c r="D105" t="s">
        <v>28</v>
      </c>
      <c r="E105" t="s">
        <v>29</v>
      </c>
      <c r="F105" t="s">
        <v>82</v>
      </c>
      <c r="G105" t="s">
        <v>41</v>
      </c>
      <c r="H105" t="s">
        <v>9</v>
      </c>
      <c r="I105" t="s">
        <v>43</v>
      </c>
      <c r="J105">
        <v>50</v>
      </c>
    </row>
    <row r="106" spans="1:10" x14ac:dyDescent="0.25">
      <c r="A106" s="3" t="str">
        <f t="shared" si="2"/>
        <v>2019-05-31WarszawaSzkoła Podstawowa Jana Pawła IITomasz HajtoClass CIwona</v>
      </c>
      <c r="B106" s="4" t="s">
        <v>64</v>
      </c>
      <c r="C106" t="s">
        <v>34</v>
      </c>
      <c r="D106" t="s">
        <v>28</v>
      </c>
      <c r="E106" t="s">
        <v>29</v>
      </c>
      <c r="F106" t="s">
        <v>82</v>
      </c>
      <c r="G106" t="s">
        <v>41</v>
      </c>
      <c r="H106" t="s">
        <v>18</v>
      </c>
      <c r="I106" t="s">
        <v>45</v>
      </c>
      <c r="J106">
        <v>6</v>
      </c>
    </row>
    <row r="107" spans="1:10" x14ac:dyDescent="0.25">
      <c r="A107" s="3" t="str">
        <f t="shared" si="2"/>
        <v>2019-05-31WarszawaSzkoła Podstawowa Jana Pawła IITomasz HajtoClass C Total</v>
      </c>
      <c r="B107" s="4" t="s">
        <v>64</v>
      </c>
      <c r="C107" t="s">
        <v>34</v>
      </c>
      <c r="D107" t="s">
        <v>28</v>
      </c>
      <c r="E107" t="s">
        <v>29</v>
      </c>
      <c r="F107" s="9" t="s">
        <v>87</v>
      </c>
      <c r="G107" s="7"/>
      <c r="H107" s="7"/>
      <c r="I107" s="7"/>
      <c r="J107" s="7">
        <v>56</v>
      </c>
    </row>
    <row r="108" spans="1:10" x14ac:dyDescent="0.25">
      <c r="A108" s="3" t="str">
        <f t="shared" si="2"/>
        <v>2019-05-31WarszawaSzkoła Podstawowa Jana Pawła IITomasz Hajto Total</v>
      </c>
      <c r="B108" s="4" t="s">
        <v>64</v>
      </c>
      <c r="C108" t="s">
        <v>34</v>
      </c>
      <c r="D108" t="s">
        <v>28</v>
      </c>
      <c r="E108" s="9" t="s">
        <v>98</v>
      </c>
      <c r="F108" s="9"/>
      <c r="G108" s="7"/>
      <c r="H108" s="7"/>
      <c r="I108" s="7"/>
      <c r="J108" s="7">
        <v>56</v>
      </c>
    </row>
    <row r="109" spans="1:10" x14ac:dyDescent="0.25">
      <c r="A109" s="3" t="str">
        <f t="shared" si="2"/>
        <v>2019-05-31WarszawaSzkoła Podstawowa Jana Pawła II Total</v>
      </c>
      <c r="B109" s="4" t="s">
        <v>64</v>
      </c>
      <c r="C109" s="4" t="s">
        <v>34</v>
      </c>
      <c r="D109" s="9" t="s">
        <v>73</v>
      </c>
      <c r="E109" s="9"/>
      <c r="F109" s="9"/>
      <c r="G109" s="9"/>
      <c r="H109" s="9"/>
      <c r="I109" s="9"/>
      <c r="J109" s="9">
        <v>107</v>
      </c>
    </row>
    <row r="110" spans="1:10" x14ac:dyDescent="0.25">
      <c r="A110" s="3" t="str">
        <f t="shared" si="2"/>
        <v>2019-05-31Warszawa Total</v>
      </c>
      <c r="B110" s="4" t="s">
        <v>64</v>
      </c>
      <c r="C110" s="9" t="s">
        <v>69</v>
      </c>
      <c r="D110" s="7"/>
      <c r="E110" s="7"/>
      <c r="F110" s="8"/>
      <c r="G110" s="7"/>
      <c r="H110" s="7"/>
      <c r="I110" s="7"/>
      <c r="J110" s="7">
        <v>107</v>
      </c>
    </row>
    <row r="111" spans="1:10" x14ac:dyDescent="0.25">
      <c r="A111" s="3" t="str">
        <f t="shared" si="2"/>
        <v>2019-05-31KrakówUniwersytet JagiellońskiSuper NianiaClass ARozalia</v>
      </c>
      <c r="B111" s="4" t="s">
        <v>64</v>
      </c>
      <c r="C111" t="s">
        <v>35</v>
      </c>
      <c r="D111" t="s">
        <v>36</v>
      </c>
      <c r="E111" s="1" t="s">
        <v>38</v>
      </c>
      <c r="F111" t="s">
        <v>80</v>
      </c>
      <c r="G111" t="s">
        <v>39</v>
      </c>
      <c r="H111" t="s">
        <v>20</v>
      </c>
      <c r="I111" t="s">
        <v>44</v>
      </c>
      <c r="J111">
        <v>44</v>
      </c>
    </row>
    <row r="112" spans="1:10" x14ac:dyDescent="0.25">
      <c r="A112" s="3" t="str">
        <f t="shared" si="2"/>
        <v>2019-05-31KrakówUniwersytet JagiellońskiSuper NianiaClass AMarcin</v>
      </c>
      <c r="B112" s="4" t="s">
        <v>64</v>
      </c>
      <c r="C112" t="s">
        <v>35</v>
      </c>
      <c r="D112" t="s">
        <v>36</v>
      </c>
      <c r="E112" s="1" t="s">
        <v>38</v>
      </c>
      <c r="F112" t="s">
        <v>80</v>
      </c>
      <c r="G112" t="s">
        <v>39</v>
      </c>
      <c r="H112" t="s">
        <v>14</v>
      </c>
      <c r="I112" t="s">
        <v>50</v>
      </c>
      <c r="J112">
        <v>33</v>
      </c>
    </row>
    <row r="113" spans="1:10" x14ac:dyDescent="0.25">
      <c r="A113" s="3" t="str">
        <f t="shared" si="2"/>
        <v>2019-05-31KrakówUniwersytet JagiellońskiSuper NianiaClass AJacek</v>
      </c>
      <c r="B113" s="4" t="s">
        <v>64</v>
      </c>
      <c r="C113" t="s">
        <v>35</v>
      </c>
      <c r="D113" t="s">
        <v>36</v>
      </c>
      <c r="E113" s="1" t="s">
        <v>38</v>
      </c>
      <c r="F113" t="s">
        <v>80</v>
      </c>
      <c r="G113" t="s">
        <v>39</v>
      </c>
      <c r="H113" t="s">
        <v>10</v>
      </c>
      <c r="I113" t="s">
        <v>55</v>
      </c>
      <c r="J113">
        <v>12</v>
      </c>
    </row>
    <row r="114" spans="1:10" x14ac:dyDescent="0.25">
      <c r="A114" s="3" t="str">
        <f t="shared" si="2"/>
        <v>2019-05-31KrakówUniwersytet JagiellońskiSuper NianiaClass ATomek</v>
      </c>
      <c r="B114" s="4" t="s">
        <v>64</v>
      </c>
      <c r="C114" t="s">
        <v>35</v>
      </c>
      <c r="D114" t="s">
        <v>36</v>
      </c>
      <c r="E114" s="1" t="s">
        <v>38</v>
      </c>
      <c r="F114" t="s">
        <v>80</v>
      </c>
      <c r="G114" t="s">
        <v>39</v>
      </c>
      <c r="H114" s="1" t="s">
        <v>8</v>
      </c>
      <c r="I114" t="s">
        <v>55</v>
      </c>
      <c r="J114">
        <v>39</v>
      </c>
    </row>
    <row r="115" spans="1:10" x14ac:dyDescent="0.25">
      <c r="A115" s="3" t="str">
        <f t="shared" si="2"/>
        <v>2019-05-31KrakówUniwersytet JagiellońskiSuper NianiaClass A Total</v>
      </c>
      <c r="B115" s="4" t="s">
        <v>64</v>
      </c>
      <c r="C115" t="s">
        <v>35</v>
      </c>
      <c r="D115" t="s">
        <v>36</v>
      </c>
      <c r="E115" s="1" t="s">
        <v>38</v>
      </c>
      <c r="F115" s="9" t="s">
        <v>85</v>
      </c>
      <c r="G115" s="7"/>
      <c r="H115" s="7"/>
      <c r="I115" s="7"/>
      <c r="J115" s="7">
        <v>128</v>
      </c>
    </row>
    <row r="116" spans="1:10" x14ac:dyDescent="0.25">
      <c r="A116" s="3" t="str">
        <f t="shared" si="2"/>
        <v>2019-05-31KrakówUniwersytet JagiellońskiSuper Niania Total</v>
      </c>
      <c r="B116" s="4" t="s">
        <v>64</v>
      </c>
      <c r="C116" t="s">
        <v>35</v>
      </c>
      <c r="D116" t="s">
        <v>36</v>
      </c>
      <c r="E116" s="9" t="s">
        <v>100</v>
      </c>
      <c r="F116" s="9"/>
      <c r="G116" s="7"/>
      <c r="H116" s="7"/>
      <c r="I116" s="7"/>
      <c r="J116" s="7">
        <v>128</v>
      </c>
    </row>
    <row r="117" spans="1:10" x14ac:dyDescent="0.25">
      <c r="A117" s="3" t="str">
        <f t="shared" si="2"/>
        <v>2019-05-31KrakówUniwersytet Jagielloński Total</v>
      </c>
      <c r="B117" s="4" t="s">
        <v>64</v>
      </c>
      <c r="C117" s="4" t="s">
        <v>35</v>
      </c>
      <c r="D117" s="9" t="s">
        <v>74</v>
      </c>
      <c r="E117" s="9"/>
      <c r="F117" s="9"/>
      <c r="G117" s="9"/>
      <c r="H117" s="9"/>
      <c r="I117" s="9"/>
      <c r="J117" s="9">
        <v>128</v>
      </c>
    </row>
    <row r="118" spans="1:10" x14ac:dyDescent="0.25">
      <c r="A118" s="3" t="str">
        <f t="shared" si="2"/>
        <v>2019-05-31KrakówSWPSSuper NianiaClass AJulia</v>
      </c>
      <c r="B118" s="4" t="s">
        <v>64</v>
      </c>
      <c r="C118" t="s">
        <v>35</v>
      </c>
      <c r="D118" s="1" t="s">
        <v>37</v>
      </c>
      <c r="E118" s="1" t="s">
        <v>38</v>
      </c>
      <c r="F118" t="s">
        <v>80</v>
      </c>
      <c r="G118" t="s">
        <v>40</v>
      </c>
      <c r="H118" s="1" t="s">
        <v>21</v>
      </c>
      <c r="I118" t="s">
        <v>50</v>
      </c>
      <c r="J118">
        <v>49</v>
      </c>
    </row>
    <row r="119" spans="1:10" x14ac:dyDescent="0.25">
      <c r="A119" s="3" t="str">
        <f t="shared" si="2"/>
        <v>2019-05-31KrakówSWPSSuper NianiaClass A Total</v>
      </c>
      <c r="B119" s="4" t="s">
        <v>64</v>
      </c>
      <c r="C119" t="s">
        <v>35</v>
      </c>
      <c r="D119" t="s">
        <v>37</v>
      </c>
      <c r="E119" s="1" t="s">
        <v>38</v>
      </c>
      <c r="F119" s="9" t="s">
        <v>85</v>
      </c>
      <c r="G119" s="7"/>
      <c r="H119" s="7"/>
      <c r="I119" s="7"/>
      <c r="J119" s="7">
        <v>49</v>
      </c>
    </row>
    <row r="120" spans="1:10" x14ac:dyDescent="0.25">
      <c r="A120" s="3" t="str">
        <f t="shared" si="2"/>
        <v>2019-05-31KrakówSWPSSuper Niania Total</v>
      </c>
      <c r="B120" s="4" t="s">
        <v>64</v>
      </c>
      <c r="C120" t="s">
        <v>35</v>
      </c>
      <c r="D120" t="s">
        <v>37</v>
      </c>
      <c r="E120" s="9" t="s">
        <v>100</v>
      </c>
      <c r="F120" s="9"/>
      <c r="G120" s="7"/>
      <c r="H120" s="7"/>
      <c r="I120" s="7"/>
      <c r="J120" s="7">
        <v>49</v>
      </c>
    </row>
    <row r="121" spans="1:10" x14ac:dyDescent="0.25">
      <c r="A121" s="3" t="str">
        <f t="shared" si="2"/>
        <v>2019-05-31KrakówSWPS Total</v>
      </c>
      <c r="B121" s="4" t="s">
        <v>64</v>
      </c>
      <c r="C121" t="s">
        <v>35</v>
      </c>
      <c r="D121" s="9" t="s">
        <v>91</v>
      </c>
      <c r="E121" s="9"/>
      <c r="F121" s="9"/>
      <c r="G121" s="9"/>
      <c r="H121" s="9"/>
      <c r="I121" s="9"/>
      <c r="J121" s="9">
        <v>49</v>
      </c>
    </row>
    <row r="122" spans="1:10" x14ac:dyDescent="0.25">
      <c r="A122" s="3" t="str">
        <f t="shared" si="2"/>
        <v>2019-05-31Kraków Total</v>
      </c>
      <c r="B122" s="4" t="s">
        <v>64</v>
      </c>
      <c r="C122" s="9" t="s">
        <v>70</v>
      </c>
      <c r="D122" s="7"/>
      <c r="E122" s="8"/>
      <c r="F122" s="8"/>
      <c r="G122" s="7"/>
      <c r="H122" s="7"/>
      <c r="I122" s="7"/>
      <c r="J122" s="7">
        <f>J117+J121</f>
        <v>177</v>
      </c>
    </row>
    <row r="123" spans="1:10" x14ac:dyDescent="0.25">
      <c r="A123" s="3" t="str">
        <f t="shared" si="2"/>
        <v>2019-05-31PoznańSzkoła DoznańJan PawełClass AKasia</v>
      </c>
      <c r="B123" s="4" t="s">
        <v>64</v>
      </c>
      <c r="C123" t="s">
        <v>57</v>
      </c>
      <c r="D123" t="s">
        <v>58</v>
      </c>
      <c r="E123" s="2" t="s">
        <v>59</v>
      </c>
      <c r="F123" t="s">
        <v>80</v>
      </c>
      <c r="G123" t="s">
        <v>40</v>
      </c>
      <c r="H123" t="s">
        <v>7</v>
      </c>
      <c r="I123" t="s">
        <v>44</v>
      </c>
      <c r="J123">
        <v>16</v>
      </c>
    </row>
    <row r="124" spans="1:10" x14ac:dyDescent="0.25">
      <c r="A124" s="3" t="str">
        <f t="shared" si="2"/>
        <v>2019-05-31PoznańSzkoła DoznańJan PawełClass A Total</v>
      </c>
      <c r="B124" s="4" t="s">
        <v>64</v>
      </c>
      <c r="C124" t="s">
        <v>57</v>
      </c>
      <c r="D124" t="s">
        <v>58</v>
      </c>
      <c r="E124" s="2" t="s">
        <v>59</v>
      </c>
      <c r="F124" s="9" t="s">
        <v>85</v>
      </c>
      <c r="G124" s="7"/>
      <c r="H124" s="7"/>
      <c r="I124" s="7"/>
      <c r="J124" s="7">
        <v>16</v>
      </c>
    </row>
    <row r="125" spans="1:10" x14ac:dyDescent="0.25">
      <c r="A125" s="3" t="str">
        <f t="shared" si="2"/>
        <v>2019-05-31PoznańSzkoła DoznańJan Paweł Total</v>
      </c>
      <c r="B125" s="4" t="s">
        <v>64</v>
      </c>
      <c r="C125" t="s">
        <v>57</v>
      </c>
      <c r="D125" t="s">
        <v>58</v>
      </c>
      <c r="E125" s="9" t="s">
        <v>101</v>
      </c>
      <c r="F125" s="9"/>
      <c r="G125" s="7"/>
      <c r="H125" s="7"/>
      <c r="I125" s="7"/>
      <c r="J125" s="7">
        <v>16</v>
      </c>
    </row>
    <row r="126" spans="1:10" x14ac:dyDescent="0.25">
      <c r="A126" s="3" t="str">
        <f t="shared" si="2"/>
        <v>2019-05-31PoznańSzkoła DoznańDonald TuskClass BTosia</v>
      </c>
      <c r="B126" s="4" t="s">
        <v>64</v>
      </c>
      <c r="C126" t="s">
        <v>57</v>
      </c>
      <c r="D126" t="s">
        <v>58</v>
      </c>
      <c r="E126" s="2" t="s">
        <v>60</v>
      </c>
      <c r="F126" t="s">
        <v>81</v>
      </c>
      <c r="G126" t="s">
        <v>40</v>
      </c>
      <c r="H126" t="s">
        <v>9</v>
      </c>
      <c r="I126" t="s">
        <v>55</v>
      </c>
      <c r="J126">
        <v>49</v>
      </c>
    </row>
    <row r="127" spans="1:10" x14ac:dyDescent="0.25">
      <c r="A127" s="3" t="str">
        <f t="shared" si="2"/>
        <v>2019-05-31PoznańSzkoła DoznańDonald TuskClass BIwona</v>
      </c>
      <c r="B127" s="4" t="s">
        <v>64</v>
      </c>
      <c r="C127" t="s">
        <v>57</v>
      </c>
      <c r="D127" t="s">
        <v>58</v>
      </c>
      <c r="E127" s="2" t="s">
        <v>60</v>
      </c>
      <c r="F127" t="s">
        <v>81</v>
      </c>
      <c r="G127" t="s">
        <v>40</v>
      </c>
      <c r="H127" t="s">
        <v>18</v>
      </c>
      <c r="I127" t="s">
        <v>55</v>
      </c>
      <c r="J127">
        <v>47</v>
      </c>
    </row>
    <row r="128" spans="1:10" x14ac:dyDescent="0.25">
      <c r="A128" s="3" t="str">
        <f t="shared" si="2"/>
        <v>2019-05-31PoznańSzkoła DoznańDonald TuskClass B Total</v>
      </c>
      <c r="B128" s="4" t="s">
        <v>64</v>
      </c>
      <c r="C128" t="s">
        <v>57</v>
      </c>
      <c r="D128" t="s">
        <v>58</v>
      </c>
      <c r="E128" s="2" t="s">
        <v>60</v>
      </c>
      <c r="F128" s="9" t="s">
        <v>86</v>
      </c>
      <c r="G128" s="7"/>
      <c r="H128" s="7"/>
      <c r="I128" s="7"/>
      <c r="J128" s="7">
        <v>96</v>
      </c>
    </row>
    <row r="129" spans="1:10" x14ac:dyDescent="0.25">
      <c r="A129" s="3" t="str">
        <f t="shared" si="2"/>
        <v>2019-05-31PoznańSzkoła DoznańDonald TuskClass CCelina</v>
      </c>
      <c r="B129" s="4" t="s">
        <v>64</v>
      </c>
      <c r="C129" t="s">
        <v>57</v>
      </c>
      <c r="D129" t="s">
        <v>58</v>
      </c>
      <c r="E129" s="2" t="s">
        <v>60</v>
      </c>
      <c r="F129" t="s">
        <v>82</v>
      </c>
      <c r="G129" t="s">
        <v>40</v>
      </c>
      <c r="H129" t="s">
        <v>11</v>
      </c>
      <c r="I129" t="s">
        <v>55</v>
      </c>
      <c r="J129">
        <v>3</v>
      </c>
    </row>
    <row r="130" spans="1:10" x14ac:dyDescent="0.25">
      <c r="A130" s="3" t="str">
        <f t="shared" si="2"/>
        <v>2019-05-31PoznańSzkoła DoznańDonald TuskClass CCelina</v>
      </c>
      <c r="B130" s="4" t="s">
        <v>64</v>
      </c>
      <c r="C130" t="s">
        <v>57</v>
      </c>
      <c r="D130" t="s">
        <v>58</v>
      </c>
      <c r="E130" s="2" t="s">
        <v>60</v>
      </c>
      <c r="F130" t="s">
        <v>82</v>
      </c>
      <c r="G130" t="s">
        <v>40</v>
      </c>
      <c r="H130" t="s">
        <v>11</v>
      </c>
      <c r="I130" t="s">
        <v>55</v>
      </c>
      <c r="J130">
        <v>11</v>
      </c>
    </row>
    <row r="131" spans="1:10" x14ac:dyDescent="0.25">
      <c r="A131" s="3" t="str">
        <f t="shared" si="2"/>
        <v>2019-05-31PoznańSzkoła DoznańDonald TuskClass C Total</v>
      </c>
      <c r="B131" s="4" t="s">
        <v>64</v>
      </c>
      <c r="C131" t="s">
        <v>57</v>
      </c>
      <c r="D131" t="s">
        <v>58</v>
      </c>
      <c r="E131" s="2" t="s">
        <v>60</v>
      </c>
      <c r="F131" s="9" t="s">
        <v>87</v>
      </c>
      <c r="G131" s="7"/>
      <c r="H131" s="7"/>
      <c r="I131" s="7"/>
      <c r="J131" s="7">
        <v>14</v>
      </c>
    </row>
    <row r="132" spans="1:10" x14ac:dyDescent="0.25">
      <c r="A132" s="3" t="str">
        <f t="shared" si="2"/>
        <v>2019-05-31PoznańSzkoła DoznańDonald Tusk Total</v>
      </c>
      <c r="B132" s="4" t="s">
        <v>64</v>
      </c>
      <c r="C132" t="s">
        <v>57</v>
      </c>
      <c r="D132" t="s">
        <v>58</v>
      </c>
      <c r="E132" s="9" t="s">
        <v>102</v>
      </c>
      <c r="F132" s="9"/>
      <c r="G132" s="7"/>
      <c r="H132" s="7"/>
      <c r="I132" s="7"/>
      <c r="J132" s="7">
        <v>110</v>
      </c>
    </row>
    <row r="133" spans="1:10" x14ac:dyDescent="0.25">
      <c r="A133" s="3" t="str">
        <f t="shared" si="2"/>
        <v>2019-05-31PoznańSzkoła Doznań Total</v>
      </c>
      <c r="B133" s="4" t="s">
        <v>64</v>
      </c>
      <c r="C133" s="4" t="s">
        <v>57</v>
      </c>
      <c r="D133" s="9" t="s">
        <v>75</v>
      </c>
      <c r="E133" s="9"/>
      <c r="F133" s="9"/>
      <c r="G133" s="9"/>
      <c r="H133" s="9"/>
      <c r="I133" s="9"/>
      <c r="J133" s="9">
        <v>126</v>
      </c>
    </row>
    <row r="134" spans="1:10" x14ac:dyDescent="0.25">
      <c r="A134" s="3" t="str">
        <f t="shared" si="2"/>
        <v>2019-05-31Poznań Total</v>
      </c>
      <c r="B134" s="4" t="s">
        <v>64</v>
      </c>
      <c r="C134" s="9" t="s">
        <v>71</v>
      </c>
      <c r="D134" s="7"/>
      <c r="E134" s="8"/>
      <c r="F134" s="8"/>
      <c r="G134" s="7"/>
      <c r="H134" s="7"/>
      <c r="I134" s="7"/>
      <c r="J134" s="7">
        <v>126</v>
      </c>
    </row>
    <row r="135" spans="1:10" x14ac:dyDescent="0.25">
      <c r="A135" s="3" t="str">
        <f t="shared" si="2"/>
        <v>2019-05-31 Total</v>
      </c>
      <c r="B135" s="6" t="s">
        <v>65</v>
      </c>
      <c r="C135" s="7"/>
      <c r="D135" s="7"/>
      <c r="E135" s="7"/>
      <c r="F135" s="7"/>
      <c r="G135" s="7"/>
      <c r="H135" s="7"/>
      <c r="I135" s="7"/>
      <c r="J135" s="7">
        <f>J134+J122+J110+J97</f>
        <v>644</v>
      </c>
    </row>
  </sheetData>
  <sheetProtection algorithmName="SHA-512" hashValue="BR99uAclxPnQqyOadY8YIVv7wt5L7if127hjuE87IeBMId5Ank3krdBOcYDkTaPLoePJE7NfH1AIBJjpMPnjlw==" saltValue="5qkMu32TlpLDLGNBPg/Hig==" spinCount="100000" sheet="1" objects="1" scenarios="1" autoFilter="0"/>
  <sortState ref="I5:J56">
    <sortCondition ref="J5:J56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_WORKINGS"/>
  <dimension ref="B1:L43"/>
  <sheetViews>
    <sheetView workbookViewId="0">
      <selection activeCell="L3" sqref="L3:L43"/>
    </sheetView>
  </sheetViews>
  <sheetFormatPr defaultRowHeight="15" x14ac:dyDescent="0.25"/>
  <cols>
    <col min="2" max="2" width="20.5703125" customWidth="1"/>
    <col min="3" max="3" width="31.5703125" customWidth="1"/>
    <col min="4" max="4" width="6.42578125" customWidth="1"/>
    <col min="5" max="5" width="17.7109375" customWidth="1"/>
    <col min="6" max="6" width="15.7109375" customWidth="1"/>
    <col min="8" max="8" width="20.5703125" customWidth="1"/>
    <col min="9" max="9" width="31.5703125" customWidth="1"/>
    <col min="10" max="10" width="6.42578125" customWidth="1"/>
    <col min="11" max="11" width="17.7109375" customWidth="1"/>
    <col min="12" max="12" width="15.7109375" customWidth="1"/>
  </cols>
  <sheetData>
    <row r="1" spans="2:12" x14ac:dyDescent="0.25">
      <c r="B1" s="14" t="s">
        <v>78</v>
      </c>
      <c r="E1" s="12"/>
      <c r="H1" s="14" t="s">
        <v>77</v>
      </c>
      <c r="K1" s="12"/>
    </row>
    <row r="2" spans="2:12" x14ac:dyDescent="0.25">
      <c r="B2" s="12" t="s">
        <v>1</v>
      </c>
      <c r="C2" s="12" t="s">
        <v>2</v>
      </c>
      <c r="D2" s="12" t="s">
        <v>4</v>
      </c>
      <c r="E2" s="12" t="s">
        <v>3</v>
      </c>
      <c r="F2" s="12" t="s">
        <v>5</v>
      </c>
      <c r="H2" s="12" t="s">
        <v>1</v>
      </c>
      <c r="I2" s="12" t="s">
        <v>2</v>
      </c>
      <c r="J2" s="12" t="s">
        <v>4</v>
      </c>
      <c r="K2" s="12" t="s">
        <v>3</v>
      </c>
      <c r="L2" s="12" t="s">
        <v>5</v>
      </c>
    </row>
    <row r="3" spans="2:12" x14ac:dyDescent="0.25">
      <c r="B3" t="s">
        <v>35</v>
      </c>
      <c r="C3" t="s">
        <v>37</v>
      </c>
      <c r="D3" t="s">
        <v>38</v>
      </c>
      <c r="E3" t="s">
        <v>80</v>
      </c>
      <c r="F3" t="s">
        <v>21</v>
      </c>
      <c r="H3" t="s">
        <v>35</v>
      </c>
      <c r="I3" t="s">
        <v>37</v>
      </c>
      <c r="J3" t="s">
        <v>38</v>
      </c>
      <c r="K3" t="s">
        <v>80</v>
      </c>
      <c r="L3" t="s">
        <v>21</v>
      </c>
    </row>
    <row r="4" spans="2:12" x14ac:dyDescent="0.25">
      <c r="B4" t="s">
        <v>35</v>
      </c>
      <c r="C4" t="s">
        <v>36</v>
      </c>
      <c r="D4" t="s">
        <v>38</v>
      </c>
      <c r="E4" t="s">
        <v>80</v>
      </c>
      <c r="F4" t="s">
        <v>10</v>
      </c>
      <c r="H4" t="s">
        <v>57</v>
      </c>
      <c r="I4" t="s">
        <v>36</v>
      </c>
      <c r="J4" t="s">
        <v>60</v>
      </c>
      <c r="K4" t="s">
        <v>81</v>
      </c>
      <c r="L4" t="s">
        <v>10</v>
      </c>
    </row>
    <row r="5" spans="2:12" x14ac:dyDescent="0.25">
      <c r="B5" t="s">
        <v>35</v>
      </c>
      <c r="C5" t="s">
        <v>36</v>
      </c>
      <c r="D5" t="s">
        <v>38</v>
      </c>
      <c r="E5" t="s">
        <v>80</v>
      </c>
      <c r="F5" t="s">
        <v>14</v>
      </c>
      <c r="H5" t="s">
        <v>34</v>
      </c>
      <c r="I5" t="s">
        <v>58</v>
      </c>
      <c r="J5" t="s">
        <v>59</v>
      </c>
      <c r="K5" t="s">
        <v>82</v>
      </c>
      <c r="L5" t="s">
        <v>14</v>
      </c>
    </row>
    <row r="6" spans="2:12" x14ac:dyDescent="0.25">
      <c r="B6" t="s">
        <v>35</v>
      </c>
      <c r="C6" t="s">
        <v>36</v>
      </c>
      <c r="D6" t="s">
        <v>38</v>
      </c>
      <c r="E6" t="s">
        <v>80</v>
      </c>
      <c r="F6" t="s">
        <v>20</v>
      </c>
      <c r="H6" t="s">
        <v>33</v>
      </c>
      <c r="I6" t="s">
        <v>28</v>
      </c>
      <c r="J6" t="s">
        <v>27</v>
      </c>
      <c r="K6" t="s">
        <v>83</v>
      </c>
      <c r="L6" t="s">
        <v>20</v>
      </c>
    </row>
    <row r="7" spans="2:12" x14ac:dyDescent="0.25">
      <c r="B7" t="s">
        <v>35</v>
      </c>
      <c r="C7" t="s">
        <v>36</v>
      </c>
      <c r="D7" t="s">
        <v>38</v>
      </c>
      <c r="E7" t="s">
        <v>80</v>
      </c>
      <c r="F7" t="s">
        <v>8</v>
      </c>
      <c r="I7" t="s">
        <v>23</v>
      </c>
      <c r="J7" t="s">
        <v>24</v>
      </c>
      <c r="K7" t="s">
        <v>84</v>
      </c>
      <c r="L7" t="s">
        <v>8</v>
      </c>
    </row>
    <row r="8" spans="2:12" x14ac:dyDescent="0.25">
      <c r="B8" t="s">
        <v>57</v>
      </c>
      <c r="C8" t="s">
        <v>58</v>
      </c>
      <c r="D8" t="s">
        <v>60</v>
      </c>
      <c r="E8" t="s">
        <v>81</v>
      </c>
      <c r="F8" t="s">
        <v>18</v>
      </c>
      <c r="I8" t="s">
        <v>22</v>
      </c>
      <c r="J8" t="s">
        <v>32</v>
      </c>
      <c r="L8" t="s">
        <v>18</v>
      </c>
    </row>
    <row r="9" spans="2:12" x14ac:dyDescent="0.25">
      <c r="B9" t="s">
        <v>57</v>
      </c>
      <c r="C9" t="s">
        <v>58</v>
      </c>
      <c r="D9" t="s">
        <v>60</v>
      </c>
      <c r="E9" t="s">
        <v>81</v>
      </c>
      <c r="F9" t="s">
        <v>9</v>
      </c>
      <c r="J9" t="s">
        <v>29</v>
      </c>
      <c r="L9" t="s">
        <v>9</v>
      </c>
    </row>
    <row r="10" spans="2:12" x14ac:dyDescent="0.25">
      <c r="B10" t="s">
        <v>57</v>
      </c>
      <c r="C10" t="s">
        <v>58</v>
      </c>
      <c r="D10" t="s">
        <v>60</v>
      </c>
      <c r="E10" t="s">
        <v>82</v>
      </c>
      <c r="F10" t="s">
        <v>11</v>
      </c>
      <c r="J10" t="s">
        <v>26</v>
      </c>
      <c r="L10" t="s">
        <v>11</v>
      </c>
    </row>
    <row r="11" spans="2:12" x14ac:dyDescent="0.25">
      <c r="B11" t="s">
        <v>57</v>
      </c>
      <c r="C11" t="s">
        <v>58</v>
      </c>
      <c r="D11" t="s">
        <v>59</v>
      </c>
      <c r="E11" t="s">
        <v>80</v>
      </c>
      <c r="F11" t="s">
        <v>7</v>
      </c>
      <c r="J11" t="s">
        <v>25</v>
      </c>
      <c r="L11" t="s">
        <v>7</v>
      </c>
    </row>
    <row r="12" spans="2:12" x14ac:dyDescent="0.25">
      <c r="B12" t="s">
        <v>34</v>
      </c>
      <c r="C12" t="s">
        <v>28</v>
      </c>
      <c r="D12" t="s">
        <v>27</v>
      </c>
      <c r="E12" t="s">
        <v>81</v>
      </c>
      <c r="F12" t="s">
        <v>13</v>
      </c>
      <c r="J12" t="s">
        <v>31</v>
      </c>
      <c r="L12" t="s">
        <v>13</v>
      </c>
    </row>
    <row r="13" spans="2:12" x14ac:dyDescent="0.25">
      <c r="B13" t="s">
        <v>34</v>
      </c>
      <c r="C13" t="s">
        <v>28</v>
      </c>
      <c r="D13" t="s">
        <v>24</v>
      </c>
      <c r="E13" t="s">
        <v>80</v>
      </c>
      <c r="F13" t="s">
        <v>10</v>
      </c>
      <c r="J13" t="s">
        <v>30</v>
      </c>
      <c r="L13" t="s">
        <v>19</v>
      </c>
    </row>
    <row r="14" spans="2:12" x14ac:dyDescent="0.25">
      <c r="B14" t="s">
        <v>34</v>
      </c>
      <c r="C14" t="s">
        <v>28</v>
      </c>
      <c r="D14" t="s">
        <v>24</v>
      </c>
      <c r="E14" t="s">
        <v>80</v>
      </c>
      <c r="F14" t="s">
        <v>19</v>
      </c>
      <c r="L14" t="s">
        <v>6</v>
      </c>
    </row>
    <row r="15" spans="2:12" x14ac:dyDescent="0.25">
      <c r="B15" t="s">
        <v>34</v>
      </c>
      <c r="C15" t="s">
        <v>28</v>
      </c>
      <c r="D15" t="s">
        <v>32</v>
      </c>
      <c r="E15" t="s">
        <v>83</v>
      </c>
      <c r="F15" t="s">
        <v>18</v>
      </c>
      <c r="L15" t="s">
        <v>16</v>
      </c>
    </row>
    <row r="16" spans="2:12" x14ac:dyDescent="0.25">
      <c r="B16" t="s">
        <v>34</v>
      </c>
      <c r="C16" t="s">
        <v>28</v>
      </c>
      <c r="D16" t="s">
        <v>32</v>
      </c>
      <c r="E16" t="s">
        <v>83</v>
      </c>
      <c r="F16" t="s">
        <v>21</v>
      </c>
      <c r="L16" t="s">
        <v>15</v>
      </c>
    </row>
    <row r="17" spans="2:12" x14ac:dyDescent="0.25">
      <c r="B17" t="s">
        <v>34</v>
      </c>
      <c r="C17" t="s">
        <v>28</v>
      </c>
      <c r="D17" t="s">
        <v>29</v>
      </c>
      <c r="E17" t="s">
        <v>81</v>
      </c>
      <c r="F17" t="s">
        <v>8</v>
      </c>
      <c r="L17" t="s">
        <v>17</v>
      </c>
    </row>
    <row r="18" spans="2:12" x14ac:dyDescent="0.25">
      <c r="B18" t="s">
        <v>34</v>
      </c>
      <c r="C18" t="s">
        <v>28</v>
      </c>
      <c r="D18" t="s">
        <v>29</v>
      </c>
      <c r="E18" t="s">
        <v>82</v>
      </c>
      <c r="F18" t="s">
        <v>6</v>
      </c>
      <c r="L18" t="s">
        <v>12</v>
      </c>
    </row>
    <row r="19" spans="2:12" x14ac:dyDescent="0.25">
      <c r="B19" t="s">
        <v>34</v>
      </c>
      <c r="C19" t="s">
        <v>28</v>
      </c>
      <c r="D19" t="s">
        <v>29</v>
      </c>
      <c r="E19" t="s">
        <v>82</v>
      </c>
      <c r="F19" t="s">
        <v>18</v>
      </c>
    </row>
    <row r="20" spans="2:12" x14ac:dyDescent="0.25">
      <c r="B20" t="s">
        <v>34</v>
      </c>
      <c r="C20" t="s">
        <v>28</v>
      </c>
      <c r="D20" t="s">
        <v>29</v>
      </c>
      <c r="E20" t="s">
        <v>82</v>
      </c>
      <c r="F20" t="s">
        <v>21</v>
      </c>
    </row>
    <row r="21" spans="2:12" x14ac:dyDescent="0.25">
      <c r="B21" t="s">
        <v>34</v>
      </c>
      <c r="C21" t="s">
        <v>28</v>
      </c>
      <c r="D21" t="s">
        <v>29</v>
      </c>
      <c r="E21" t="s">
        <v>82</v>
      </c>
      <c r="F21" t="s">
        <v>7</v>
      </c>
    </row>
    <row r="22" spans="2:12" x14ac:dyDescent="0.25">
      <c r="B22" t="s">
        <v>34</v>
      </c>
      <c r="C22" t="s">
        <v>28</v>
      </c>
      <c r="D22" t="s">
        <v>29</v>
      </c>
      <c r="E22" t="s">
        <v>82</v>
      </c>
      <c r="F22" t="s">
        <v>9</v>
      </c>
    </row>
    <row r="23" spans="2:12" x14ac:dyDescent="0.25">
      <c r="B23" t="s">
        <v>33</v>
      </c>
      <c r="C23" t="s">
        <v>23</v>
      </c>
      <c r="D23" t="s">
        <v>26</v>
      </c>
      <c r="E23" t="s">
        <v>83</v>
      </c>
      <c r="F23" t="s">
        <v>20</v>
      </c>
    </row>
    <row r="24" spans="2:12" x14ac:dyDescent="0.25">
      <c r="B24" t="s">
        <v>33</v>
      </c>
      <c r="C24" t="s">
        <v>23</v>
      </c>
      <c r="D24" t="s">
        <v>27</v>
      </c>
      <c r="E24" t="s">
        <v>84</v>
      </c>
      <c r="F24" t="s">
        <v>14</v>
      </c>
    </row>
    <row r="25" spans="2:12" x14ac:dyDescent="0.25">
      <c r="B25" t="s">
        <v>33</v>
      </c>
      <c r="C25" t="s">
        <v>23</v>
      </c>
      <c r="D25" t="s">
        <v>24</v>
      </c>
      <c r="E25" t="s">
        <v>80</v>
      </c>
      <c r="F25" t="s">
        <v>6</v>
      </c>
    </row>
    <row r="26" spans="2:12" x14ac:dyDescent="0.25">
      <c r="B26" t="s">
        <v>33</v>
      </c>
      <c r="C26" t="s">
        <v>23</v>
      </c>
      <c r="D26" t="s">
        <v>24</v>
      </c>
      <c r="E26" t="s">
        <v>80</v>
      </c>
      <c r="F26" t="s">
        <v>16</v>
      </c>
    </row>
    <row r="27" spans="2:12" x14ac:dyDescent="0.25">
      <c r="B27" t="s">
        <v>33</v>
      </c>
      <c r="C27" t="s">
        <v>23</v>
      </c>
      <c r="D27" t="s">
        <v>24</v>
      </c>
      <c r="E27" t="s">
        <v>80</v>
      </c>
      <c r="F27" t="s">
        <v>15</v>
      </c>
    </row>
    <row r="28" spans="2:12" x14ac:dyDescent="0.25">
      <c r="B28" t="s">
        <v>33</v>
      </c>
      <c r="C28" t="s">
        <v>23</v>
      </c>
      <c r="D28" t="s">
        <v>24</v>
      </c>
      <c r="E28" t="s">
        <v>80</v>
      </c>
      <c r="F28" t="s">
        <v>14</v>
      </c>
    </row>
    <row r="29" spans="2:12" x14ac:dyDescent="0.25">
      <c r="B29" t="s">
        <v>33</v>
      </c>
      <c r="C29" t="s">
        <v>23</v>
      </c>
      <c r="D29" t="s">
        <v>24</v>
      </c>
      <c r="E29" t="s">
        <v>80</v>
      </c>
      <c r="F29" t="s">
        <v>13</v>
      </c>
    </row>
    <row r="30" spans="2:12" x14ac:dyDescent="0.25">
      <c r="B30" t="s">
        <v>33</v>
      </c>
      <c r="C30" t="s">
        <v>23</v>
      </c>
      <c r="D30" t="s">
        <v>24</v>
      </c>
      <c r="E30" t="s">
        <v>80</v>
      </c>
      <c r="F30" t="s">
        <v>9</v>
      </c>
    </row>
    <row r="31" spans="2:12" x14ac:dyDescent="0.25">
      <c r="B31" t="s">
        <v>33</v>
      </c>
      <c r="C31" t="s">
        <v>23</v>
      </c>
      <c r="D31" t="s">
        <v>24</v>
      </c>
      <c r="E31" t="s">
        <v>81</v>
      </c>
      <c r="F31" t="s">
        <v>16</v>
      </c>
    </row>
    <row r="32" spans="2:12" x14ac:dyDescent="0.25">
      <c r="B32" t="s">
        <v>33</v>
      </c>
      <c r="C32" t="s">
        <v>23</v>
      </c>
      <c r="D32" t="s">
        <v>24</v>
      </c>
      <c r="E32" t="s">
        <v>81</v>
      </c>
      <c r="F32" t="s">
        <v>14</v>
      </c>
    </row>
    <row r="33" spans="2:6" x14ac:dyDescent="0.25">
      <c r="B33" t="s">
        <v>33</v>
      </c>
      <c r="C33" t="s">
        <v>23</v>
      </c>
      <c r="D33" t="s">
        <v>25</v>
      </c>
      <c r="E33" t="s">
        <v>81</v>
      </c>
      <c r="F33" t="s">
        <v>18</v>
      </c>
    </row>
    <row r="34" spans="2:6" x14ac:dyDescent="0.25">
      <c r="B34" t="s">
        <v>33</v>
      </c>
      <c r="C34" t="s">
        <v>23</v>
      </c>
      <c r="D34" t="s">
        <v>25</v>
      </c>
      <c r="E34" t="s">
        <v>81</v>
      </c>
      <c r="F34" t="s">
        <v>7</v>
      </c>
    </row>
    <row r="35" spans="2:6" x14ac:dyDescent="0.25">
      <c r="B35" t="s">
        <v>33</v>
      </c>
      <c r="C35" t="s">
        <v>23</v>
      </c>
      <c r="D35" t="s">
        <v>25</v>
      </c>
      <c r="E35" t="s">
        <v>82</v>
      </c>
      <c r="F35" t="s">
        <v>21</v>
      </c>
    </row>
    <row r="36" spans="2:6" x14ac:dyDescent="0.25">
      <c r="B36" t="s">
        <v>33</v>
      </c>
      <c r="C36" t="s">
        <v>22</v>
      </c>
      <c r="D36" t="s">
        <v>31</v>
      </c>
      <c r="E36" t="s">
        <v>81</v>
      </c>
      <c r="F36" t="s">
        <v>10</v>
      </c>
    </row>
    <row r="37" spans="2:6" x14ac:dyDescent="0.25">
      <c r="B37" t="s">
        <v>33</v>
      </c>
      <c r="C37" t="s">
        <v>22</v>
      </c>
      <c r="D37" t="s">
        <v>31</v>
      </c>
      <c r="E37" t="s">
        <v>81</v>
      </c>
      <c r="F37" t="s">
        <v>13</v>
      </c>
    </row>
    <row r="38" spans="2:6" x14ac:dyDescent="0.25">
      <c r="B38" t="s">
        <v>33</v>
      </c>
      <c r="C38" t="s">
        <v>22</v>
      </c>
      <c r="D38" t="s">
        <v>30</v>
      </c>
      <c r="E38" t="s">
        <v>80</v>
      </c>
      <c r="F38" t="s">
        <v>19</v>
      </c>
    </row>
    <row r="39" spans="2:6" x14ac:dyDescent="0.25">
      <c r="B39" t="s">
        <v>33</v>
      </c>
      <c r="C39" t="s">
        <v>22</v>
      </c>
      <c r="D39" t="s">
        <v>30</v>
      </c>
      <c r="E39" t="s">
        <v>80</v>
      </c>
      <c r="F39" t="s">
        <v>17</v>
      </c>
    </row>
    <row r="40" spans="2:6" x14ac:dyDescent="0.25">
      <c r="B40" t="s">
        <v>33</v>
      </c>
      <c r="C40" t="s">
        <v>22</v>
      </c>
      <c r="D40" t="s">
        <v>30</v>
      </c>
      <c r="E40" t="s">
        <v>80</v>
      </c>
      <c r="F40" t="s">
        <v>14</v>
      </c>
    </row>
    <row r="41" spans="2:6" x14ac:dyDescent="0.25">
      <c r="B41" t="s">
        <v>33</v>
      </c>
      <c r="C41" t="s">
        <v>22</v>
      </c>
      <c r="D41" t="s">
        <v>30</v>
      </c>
      <c r="E41" t="s">
        <v>80</v>
      </c>
      <c r="F41" t="s">
        <v>20</v>
      </c>
    </row>
    <row r="42" spans="2:6" x14ac:dyDescent="0.25">
      <c r="B42" t="s">
        <v>33</v>
      </c>
      <c r="C42" t="s">
        <v>22</v>
      </c>
      <c r="D42" t="s">
        <v>30</v>
      </c>
      <c r="E42" t="s">
        <v>80</v>
      </c>
      <c r="F42" t="s">
        <v>8</v>
      </c>
    </row>
    <row r="43" spans="2:6" x14ac:dyDescent="0.25">
      <c r="B43" t="s">
        <v>33</v>
      </c>
      <c r="C43" t="s">
        <v>22</v>
      </c>
      <c r="D43" t="s">
        <v>30</v>
      </c>
      <c r="E43" t="s">
        <v>80</v>
      </c>
      <c r="F43" t="s">
        <v>12</v>
      </c>
    </row>
  </sheetData>
  <sheetProtection algorithmName="SHA-512" hashValue="zpuigCj4x18HXqzVwEUyEFEaEyndxquqcQAUHRu9j74iSOOfERxZ2f+2fvTuR9bNqE0RR6ajsOccStX0wKS+tg==" saltValue="eFcQ04gjMLrj3Y9lq5M8jA==" spinCount="100000" sheet="1" objects="1" scenarios="1" autoFilter="0"/>
  <sortState ref="B3:F45">
    <sortCondition ref="B2:B44"/>
    <sortCondition ref="C2:C44"/>
    <sortCondition ref="D2:D44"/>
    <sortCondition ref="E2:E44"/>
    <sortCondition ref="F2:F4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Summary</vt:lpstr>
      <vt:lpstr>data_source</vt:lpstr>
      <vt:lpstr>workings</vt:lpstr>
      <vt:lpstr>Summary!HierarchyFormulas</vt:lpstr>
      <vt:lpstr>Summary!HierarchyHeaders</vt:lpstr>
      <vt:lpstr>workings!HierarchyHeaders</vt:lpstr>
      <vt:lpstr>workings!UniqueListHeaders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Zdunkov</dc:creator>
  <cp:lastModifiedBy>Zdunkov</cp:lastModifiedBy>
  <dcterms:created xsi:type="dcterms:W3CDTF">2021-09-30T12:58:49Z</dcterms:created>
  <dcterms:modified xsi:type="dcterms:W3CDTF">2021-10-19T10:18:47Z</dcterms:modified>
</cp:coreProperties>
</file>